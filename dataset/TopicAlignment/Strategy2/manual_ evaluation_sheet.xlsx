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0" documentId="8_{2DB21C0C-1033-41B4-8B8B-AA43391F5F97}" xr6:coauthVersionLast="47" xr6:coauthVersionMax="47" xr10:uidLastSave="{00000000-0000-0000-0000-000000000000}"/>
  <bookViews>
    <workbookView xWindow="0" yWindow="0" windowWidth="0" windowHeight="0" activeTab="1" xr2:uid="{00000000-000D-0000-FFFF-FFFF00000000}"/>
  </bookViews>
  <sheets>
    <sheet name="Dataset Gemini" sheetId="1" r:id="rId1"/>
    <sheet name="Dataset Flash Lite" sheetId="2" r:id="rId2"/>
  </sheets>
  <definedNames>
    <definedName name="_xlnm._FilterDatabase" localSheetId="0" hidden="1">'Dataset Gemini'!$A$1:$Q$1</definedName>
    <definedName name="_xlnm._FilterDatabase" localSheetId="1" hidden="1">'Dataset Flash Lite'!$N$1:$N$122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5" i="2" l="1" a="1"/>
  <c r="AA5" i="2" s="1"/>
  <c r="AA4" i="2" a="1"/>
  <c r="AA4" i="2" s="1"/>
  <c r="AA3" i="2" a="1"/>
  <c r="AA3" i="2" s="1"/>
  <c r="AA2" i="2" a="1"/>
  <c r="AA2" i="2" s="1"/>
  <c r="Z5" i="2" a="1"/>
  <c r="Z5" i="2" s="1"/>
  <c r="Z4" i="2" a="1"/>
  <c r="Z4" i="2" s="1"/>
  <c r="Z3" i="2" a="1"/>
  <c r="Z3" i="2" s="1"/>
  <c r="Z2" i="2" a="1"/>
  <c r="Z2" i="2" s="1"/>
  <c r="Y5" i="2" a="1"/>
  <c r="Y5" i="2" s="1"/>
  <c r="Y4" i="2" a="1"/>
  <c r="Y4" i="2" s="1"/>
  <c r="Y3" i="2" a="1"/>
  <c r="Y3" i="2" s="1"/>
  <c r="Y2" i="2" a="1"/>
  <c r="Y2" i="2" s="1"/>
  <c r="X5" i="2" a="1"/>
  <c r="X5" i="2" s="1"/>
  <c r="X4" i="2" a="1"/>
  <c r="X4" i="2" s="1"/>
  <c r="X3" i="2" a="1"/>
  <c r="X3" i="2" s="1"/>
  <c r="X2" i="2" a="1"/>
  <c r="X2" i="2" s="1"/>
  <c r="W5" i="2" a="1"/>
  <c r="W5" i="2" s="1"/>
  <c r="W4" i="2" a="1"/>
  <c r="W4" i="2" s="1"/>
  <c r="W3" i="2" a="1"/>
  <c r="W3" i="2" s="1"/>
  <c r="W2" i="2" a="1"/>
  <c r="W2" i="2" s="1"/>
  <c r="V5" i="2" a="1"/>
  <c r="V5" i="2" s="1"/>
  <c r="V4" i="2" a="1"/>
  <c r="V4" i="2" s="1"/>
  <c r="V3" i="2" a="1"/>
  <c r="V3" i="2" s="1"/>
  <c r="V2" i="2" a="1"/>
  <c r="V2" i="2" s="1"/>
  <c r="U5" i="2" a="1"/>
  <c r="U5" i="2" s="1"/>
  <c r="U4" i="2" a="1"/>
  <c r="U4" i="2" s="1"/>
  <c r="U3" i="2" a="1"/>
  <c r="U3" i="2" s="1"/>
  <c r="U2" i="2" a="1"/>
  <c r="U2" i="2" s="1"/>
  <c r="T5" i="2" a="1"/>
  <c r="T5" i="2" s="1"/>
  <c r="T4" i="2" a="1"/>
  <c r="T4" i="2" s="1"/>
  <c r="T3" i="2" a="1"/>
  <c r="T3" i="2" s="1"/>
  <c r="T2" i="2" a="1"/>
  <c r="T2" i="2" s="1"/>
  <c r="S5" i="2" a="1"/>
  <c r="S5" i="2" s="1"/>
  <c r="S4" i="2" a="1"/>
  <c r="S4" i="2" s="1"/>
  <c r="S3" i="2" a="1"/>
  <c r="S3" i="2" s="1"/>
  <c r="S2" i="2" a="1"/>
  <c r="S2" i="2" s="1"/>
  <c r="R5" i="2" a="1"/>
  <c r="R5" i="2" s="1"/>
  <c r="R4" i="2" a="1"/>
  <c r="R4" i="2" s="1"/>
  <c r="R3" i="2" a="1"/>
  <c r="R3" i="2" s="1"/>
  <c r="R2" i="2" a="1"/>
  <c r="R2" i="2" s="1"/>
  <c r="Q5" i="2" a="1"/>
  <c r="Q5" i="2" s="1"/>
  <c r="Q4" i="2" a="1"/>
  <c r="Q4" i="2" s="1"/>
  <c r="Q3" i="2" a="1"/>
  <c r="Q3" i="2" s="1"/>
  <c r="Q2" i="2" a="1"/>
  <c r="Q2" i="2" s="1"/>
  <c r="P5" i="2" a="1"/>
  <c r="P5" i="2" s="1"/>
  <c r="P4" i="2" a="1"/>
  <c r="P4" i="2" s="1"/>
  <c r="P3" i="2" a="1"/>
  <c r="P3" i="2" s="1"/>
  <c r="P2" i="2" a="1"/>
  <c r="P2" i="2" s="1"/>
  <c r="M5" i="2" a="1"/>
  <c r="M5" i="2" s="1"/>
  <c r="M4" i="2" a="1"/>
  <c r="M4" i="2" s="1"/>
  <c r="M3" i="2" a="1"/>
  <c r="M3" i="2" s="1"/>
  <c r="M2" i="2" a="1"/>
  <c r="M2" i="2" s="1"/>
  <c r="L5" i="2" a="1"/>
  <c r="L5" i="2" s="1"/>
  <c r="L4" i="2" a="1"/>
  <c r="L4" i="2" s="1"/>
  <c r="L3" i="2" a="1"/>
  <c r="L3" i="2" s="1"/>
  <c r="L2" i="2" a="1"/>
  <c r="L2" i="2" s="1"/>
  <c r="K5" i="2" a="1"/>
  <c r="K5" i="2" s="1"/>
  <c r="K4" i="2" a="1"/>
  <c r="K4" i="2" s="1"/>
  <c r="K3" i="2" a="1"/>
  <c r="K3" i="2" s="1"/>
  <c r="K2" i="2" a="1"/>
  <c r="K2" i="2" s="1"/>
  <c r="J5" i="2" a="1"/>
  <c r="J5" i="2" s="1"/>
  <c r="J4" i="2" a="1"/>
  <c r="J4" i="2" s="1"/>
  <c r="J3" i="2" a="1"/>
  <c r="J3" i="2" s="1"/>
  <c r="J2" i="2" a="1"/>
  <c r="J2" i="2" s="1"/>
  <c r="I5" i="2" a="1"/>
  <c r="I5" i="2" s="1"/>
  <c r="I4" i="2" a="1"/>
  <c r="I4" i="2" s="1"/>
  <c r="I3" i="2" a="1"/>
  <c r="I3" i="2" s="1"/>
  <c r="I2" i="2" a="1"/>
  <c r="I2" i="2" s="1"/>
  <c r="H5" i="2" a="1"/>
  <c r="H5" i="2" s="1"/>
  <c r="H4" i="2" a="1"/>
  <c r="H4" i="2" s="1"/>
  <c r="H3" i="2" a="1"/>
  <c r="H3" i="2" s="1"/>
  <c r="H2" i="2" a="1"/>
  <c r="H2" i="2" s="1"/>
  <c r="AA5" i="1" a="1"/>
  <c r="AA5" i="1" s="1"/>
  <c r="AA4" i="1" a="1"/>
  <c r="AA4" i="1" s="1"/>
  <c r="AA3" i="1" a="1"/>
  <c r="AA3" i="1" s="1"/>
  <c r="AA2" i="1" a="1"/>
  <c r="AA2" i="1" s="1"/>
  <c r="Z5" i="1" a="1"/>
  <c r="Z5" i="1" s="1"/>
  <c r="Z4" i="1" a="1"/>
  <c r="Z4" i="1" s="1"/>
  <c r="Z3" i="1" a="1"/>
  <c r="Z3" i="1" s="1"/>
  <c r="Z2" i="1" a="1"/>
  <c r="Z2" i="1" s="1"/>
  <c r="Y5" i="1" a="1"/>
  <c r="Y5" i="1" s="1"/>
  <c r="Y4" i="1" a="1"/>
  <c r="Y4" i="1" s="1"/>
  <c r="Y3" i="1" a="1"/>
  <c r="Y3" i="1" s="1"/>
  <c r="Y2" i="1" a="1"/>
  <c r="Y2" i="1" s="1"/>
  <c r="X5" i="1" a="1"/>
  <c r="X5" i="1" s="1"/>
  <c r="X4" i="1" a="1"/>
  <c r="X4" i="1" s="1"/>
  <c r="X3" i="1" a="1"/>
  <c r="X3" i="1" s="1"/>
  <c r="X2" i="1" a="1"/>
  <c r="X2" i="1" s="1"/>
  <c r="W5" i="1" a="1"/>
  <c r="W5" i="1" s="1"/>
  <c r="W4" i="1" a="1"/>
  <c r="W4" i="1" s="1"/>
  <c r="W3" i="1" a="1"/>
  <c r="W3" i="1" s="1"/>
  <c r="W2" i="1" a="1"/>
  <c r="W2" i="1" s="1"/>
  <c r="V5" i="1" a="1"/>
  <c r="V5" i="1" s="1"/>
  <c r="V4" i="1" a="1"/>
  <c r="V4" i="1" s="1"/>
  <c r="V3" i="1" a="1"/>
  <c r="V3" i="1" s="1"/>
  <c r="V2" i="1" a="1"/>
  <c r="V2" i="1" s="1"/>
  <c r="U5" i="1" a="1"/>
  <c r="U5" i="1" s="1"/>
  <c r="U4" i="1" a="1"/>
  <c r="U4" i="1" s="1"/>
  <c r="U3" i="1" a="1"/>
  <c r="U3" i="1" s="1"/>
  <c r="U2" i="1" a="1"/>
  <c r="U2" i="1" s="1"/>
  <c r="T5" i="1" a="1"/>
  <c r="T5" i="1" s="1"/>
  <c r="T4" i="1" a="1"/>
  <c r="T4" i="1" s="1"/>
  <c r="T3" i="1" a="1"/>
  <c r="T3" i="1" s="1"/>
  <c r="T2" i="1" a="1"/>
  <c r="T2" i="1" s="1"/>
  <c r="S5" i="1" a="1"/>
  <c r="S5" i="1" s="1"/>
  <c r="S4" i="1" a="1"/>
  <c r="S4" i="1" s="1"/>
  <c r="S3" i="1" a="1"/>
  <c r="S3" i="1" s="1"/>
  <c r="S2" i="1" a="1"/>
  <c r="S2" i="1" s="1"/>
  <c r="R5" i="1" a="1"/>
  <c r="R5" i="1" s="1"/>
  <c r="R4" i="1" a="1"/>
  <c r="R4" i="1" s="1"/>
  <c r="R3" i="1" a="1"/>
  <c r="R3" i="1" s="1"/>
  <c r="R2" i="1" a="1"/>
  <c r="R2" i="1" s="1"/>
  <c r="Q5" i="1" a="1"/>
  <c r="Q5" i="1" s="1"/>
  <c r="Q4" i="1" a="1"/>
  <c r="Q4" i="1" s="1"/>
  <c r="Q3" i="1" a="1"/>
  <c r="Q3" i="1" s="1"/>
  <c r="Q2" i="1" a="1"/>
  <c r="Q2" i="1" s="1"/>
  <c r="P5" i="1" a="1"/>
  <c r="P5" i="1" s="1"/>
  <c r="P4" i="1" a="1"/>
  <c r="P4" i="1" s="1"/>
  <c r="P3" i="1" a="1"/>
  <c r="P3" i="1" s="1"/>
  <c r="P2" i="1" a="1"/>
  <c r="P2" i="1" s="1"/>
  <c r="M5" i="1" a="1"/>
  <c r="M5" i="1" s="1"/>
  <c r="M4" i="1" a="1"/>
  <c r="M4" i="1" s="1"/>
  <c r="M3" i="1" a="1"/>
  <c r="M3" i="1" s="1"/>
  <c r="M2" i="1" a="1"/>
  <c r="M2" i="1" s="1"/>
  <c r="L5" i="1" a="1"/>
  <c r="L5" i="1" s="1"/>
  <c r="L4" i="1" a="1"/>
  <c r="L4" i="1" s="1"/>
  <c r="L3" i="1" a="1"/>
  <c r="L3" i="1" s="1"/>
  <c r="L2" i="1" a="1"/>
  <c r="L2" i="1" s="1"/>
  <c r="K5" i="1" a="1"/>
  <c r="K5" i="1" s="1"/>
  <c r="K4" i="1" a="1"/>
  <c r="K4" i="1" s="1"/>
  <c r="K3" i="1" a="1"/>
  <c r="K3" i="1" s="1"/>
  <c r="K2" i="1" a="1"/>
  <c r="K2" i="1" s="1"/>
  <c r="J5" i="1" a="1"/>
  <c r="J5" i="1" s="1"/>
  <c r="J4" i="1" a="1"/>
  <c r="J4" i="1" s="1"/>
  <c r="J3" i="1" a="1"/>
  <c r="J3" i="1" s="1"/>
  <c r="J2" i="1" a="1"/>
  <c r="J2" i="1" s="1"/>
  <c r="I5" i="1" a="1"/>
  <c r="I5" i="1" s="1"/>
  <c r="I4" i="1" a="1"/>
  <c r="I4" i="1" s="1"/>
  <c r="I3" i="1" a="1"/>
  <c r="I3" i="1" s="1"/>
  <c r="I2" i="1" a="1"/>
  <c r="I2" i="1" s="1"/>
  <c r="H5" i="1" a="1"/>
  <c r="H5" i="1" s="1"/>
  <c r="H4" i="1" a="1"/>
  <c r="H4" i="1" s="1"/>
  <c r="H3" i="1" a="1"/>
  <c r="H3" i="1" s="1"/>
  <c r="H2" i="1" a="1"/>
  <c r="H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<sst xmlns="http://schemas.openxmlformats.org/spreadsheetml/2006/main" count="1134" uniqueCount="392">
  <si>
    <t>id_avaliacao</t>
  </si>
  <si>
    <t>conteudo_redacao</t>
  </si>
  <si>
    <t>fluencia</t>
  </si>
  <si>
    <t>coerencia</t>
  </si>
  <si>
    <t>realismo</t>
  </si>
  <si>
    <t>especificidade</t>
  </si>
  <si>
    <t>palpite</t>
  </si>
  <si>
    <t>MEDIA_original</t>
  </si>
  <si>
    <t>MODA_original</t>
  </si>
  <si>
    <t>MEDIANA_original</t>
  </si>
  <si>
    <t>MEDIA_sintetica</t>
  </si>
  <si>
    <t>MODA_sintetica</t>
  </si>
  <si>
    <t>MEDIANA_sintetica</t>
  </si>
  <si>
    <t>gabarito_real</t>
  </si>
  <si>
    <t>faixa_real</t>
  </si>
  <si>
    <t>MEDIA_FAIXA_EXCELENTE</t>
  </si>
  <si>
    <t>MODA_FAIXA_EXCELENTE</t>
  </si>
  <si>
    <t>MEDIANA_FAIXA_EXCELENTE</t>
  </si>
  <si>
    <t>MEDIA_FAIXA_BOA</t>
  </si>
  <si>
    <t>MODA_FAIXA_BOA</t>
  </si>
  <si>
    <t>MEDIANA_FAIXA_BOA</t>
  </si>
  <si>
    <t>MEDIA_FAIXA_MEDIANA</t>
  </si>
  <si>
    <t>MODA_FAIXA_MEDIANA</t>
  </si>
  <si>
    <t>MEDIANA_FAIXA_MEDIANA</t>
  </si>
  <si>
    <t>MEDIA_FAIXA_RUIM</t>
  </si>
  <si>
    <t>MODA_FAIXA_RUIM</t>
  </si>
  <si>
    <t>MEDIANA_FAIXA_RUIM</t>
  </si>
  <si>
    <t>Gemini_Aval_01</t>
  </si>
  <si>
    <t>A discussão sobre a norma culta e as variantes linguísticas é um tema importante que a escola sempre tem que lidar.
Muita gente fala que a escola precisa ensinar só o português correto, aquele que está nos livros e que todo mundo usa em situações mais séria.
Porém, outros pensam que a escola deveria aceitar o jeito que cada um fala, porque existe muitos modos de se expressar no Brasil.
Essa questão é um desafio grande para os professores e para a própria instituição de ensino, que precisa achar um caminho pra não prejudicar o aprendizado dos alunos.
É claro que a norma culta é muito importante para os alunos.
Ela ajuda a pessoa se comunicar melhor em alguns lugares tipo no trabalho ou quando vai fazer uma prova importante.
Se a gente não sabe falar direito, pode ser mal visto e até perder oportunidades.
Então a escola tem o dever de mostrar essa linguagem mais formal, para que os estudantes tenha mais chance na vida.
É um conhecimento que abre portas e não pode ser deixado de lado, porque senão, como a gente vai escrever uma carta ou um e-mail formal?
Por outro lado, não dá pra ignorar que as variantes linguísticas também são parte da nossa cultura.
Cada região do Brasil tem um jeito diferente de falar, e isso é muito rico.
Se a escola só valorizar o português dos livros pode fazer com que os alunos se sintam errado ou com vergonha do jeito que eles falam em casa.
É importante que a escola mostre que existe várias formas de se expressar e que todas tem seu valor.
Isso ajuda a respeitar a identidade de cada um e a entender que a língua é viva e muda o tempo todo, não é uma coisa parada.
Então a posição da escola nesse debate precisa ser bem pensada.
Não dá para a escola ignorar nem a importância da norma culta, que é pra usar em ocasiões mais formais, nem as variantes linguísticas, que é o jeito que o povo fala e que mostra a cultura.
Talvez o ideal seja ensinar os dois, para que os alunos saibam a hora certa de usar cada um.
Assim, eles vão ter mais ferramentas para se comunicar em qualquer situação, sem preconceito e com muito mais confiança, aprendendo a valorizar a língua em todas as suas formas.</t>
  </si>
  <si>
    <t>Sintético</t>
  </si>
  <si>
    <t>SINTETICO</t>
  </si>
  <si>
    <t>MEDIANA</t>
  </si>
  <si>
    <t>O português brasileiro é uma língua com infinitas particularidades.
Isso o torna complexo, mas também belo.
Cabe a cada um de nós saber apreciar e usar essa beleza.
A escola tem papel fundamental na formação do aluno.
E o uso correto do idioma é com certeza uma das matérias mais importantes a ser aprendida.
É algo que estará presente na vida do estudante em todos os momentos.
Um país com tanta diversidade cultural, com tantas raças e formas de falar, é um país riquíssimo.
E todos deveriam ter o direito de aproveitar e crescer com isso.
Um vocabulário diferente em cada região, uma forma alternativa de se falar correspondente ao lugar ou situação.
As informações, hoje mais do que nunca, estão em todas as partes.
A escola deve introduzir as diferentes formas de linguagem desde o começo da vida escolar das crianças.
Depois crescemos, surgem novos desafios.
E então como impor uma língua estrangeira a quem não domina completamente nem mesmo a sua própria?
As escolas e a família devem ensinar.
Ensinar o português culto, suas variantes e como se portar com cada pessoa e em cada momento.
Mas a aprendizagem virá com a prática e apenas se o próprio indivíduo se dedicar.
Há numerosas formas de se comunicar, há infinitas formas de aprender.
A escola deve apresentar a literatura e a gramática ao aluno.
Mas o prazer de compreendê-la , de falar, de ler e ouvir, só depende de nós mesmos.</t>
  </si>
  <si>
    <t>Original</t>
  </si>
  <si>
    <t>ORIGINAL</t>
  </si>
  <si>
    <t>Gemini_Aval_02</t>
  </si>
  <si>
    <t>É comum ver pessoas de idades diferente se desentenderem.
Isso acontece porque cada geração tem suas ideias e seu jeito de viver.
A convivência social, então, fica difícil por causa dessas diferenças, que são bem grandes.
Os jovens de hoje em dia gostam muito de tecnologia e as coisas novas, já os mais velho preferem o jeito mais tradicional de fazer tudo.
Isso gera muito atrito entre eles.
Os jovens são visto como rebeldes e os velhos como teimosos, o que atrapalha a comunicação e o entendimento.
Essa falta de entendimento não fica só em casa, não.
No trabalho também é complicado.
Os mais experiente não entendem as ideias dos mais novos, e os novos acha os velhos ultrapassados.
Isso impede o progresso e a união da sociedade, porque ninguem consegue se dar bem.
Para resolver isso, é preciso que as gerações se respeitem mais.
Tentar entender o lado do outro é fundamental para que a convivência seja melhor e menos conflituosa.
Assim, todos pode viver em paz, e ter uma sociedade mais tranquila para todos.</t>
  </si>
  <si>
    <t>Quando pensamos na convivencia  social entre diferentes gerações, geralmente temos uma idéia de conflitos de valores, porém precisamos entender que este  convívio não ocorre de maneira singular em todos os lugares.
Pois em  algumas sociedades, como as orientais, ambas as gerações partilham os mesmos ideais, enquanto em outras, como as ocidentais, há um contraste de crenças.
No Oriente, tendo como exemplo da  Índia, podemos ver uma cultura que permanece intacta até os dias atuais.
Esta, por sua vez, é passada para cada geração há séculos, fazendo com que os dogmas tornem-se vitalícios na vida desse povo.
Um exemplo disso são as castas, nas quais  é impossivel  que pessoas de classes "superiores" relacionem-se ou mesmo convivam com as de classe "inferior".
Em função disso, gerações de diferentes épocas mantém-se  presas aos mesmos costumes e compartilham um mesmo modo de pensar, imposto pelo sistema.
Já no Ocidente, notamos a presença de maiores revoltas da juventude contra os antigos ideiais, constatadas no modo de pensar e de agir.
Uma vez que os meios de comunicação estão mais presentes em nossa sociedade, os jovens têm mais acesso a  informação e desenvolvem consciências críticas e novos pontos de vista sobre um determinado assunto.
Pode-se ver isso na área sexual, o que antes era um tabu para as gerações mais antigas, hoje é encarado de forma natural.
Isso se deve em grande parte as escolas, que disseminam novos conhecimentos.
A partir dessa análise, percebemos uma forma peculiar da relação entre as gerações e vemos que cada uma apresenta aspectos positivos e negativos, já que nenhuma cultura ou forma de pensar é superior a outra, pois cada uma detém sua riqueza e valor histórico.
Assim, em qualquer lugar, uma geração está ligada a  outra, não só nos aspectos hereditários, mas também sociais.
Como diria Eleanor Roosevelt "uma geração constrói a estrada pela qual a outra trafega."</t>
  </si>
  <si>
    <t>Gemini_Aval_03</t>
  </si>
  <si>
    <t>A questão do aborto de anencéfalos e algo muito falado e que causa muita discussão na sociedade brasileira.
O Supremo Tribunal Federal, que e o tribunal mais importante, decidiu que pode fazer o aborto de nesses casos.
Isso gerou uma polemica grande, porque tem gente que e a favor e gente que e contra, e cada um tem seus motivos para pensar assim.
E uma situação bem complicada.
Quem defende a legalização diz que a mãe sofre muito quando descobre que o bebê não tem cérebro e não vai sobreviver.
E uma dor muito grande ter que levar uma gravidez sabendo que os filhos vai morrer logo depois de nascer, ou mesmo antes.
Alem disso, o feto anencéfalo não tem chance de vida normal, então é como se ja não estivesse vivo direito.
Assim, dar a opção de abortar seria um jeito de aliviar o sofrimento da mulher.
Ja quem é contra fala que a vida é sagrada e que ninguem pode tirar uma vida, mesmo que o bebê seja anencefalo.
Eles acreditam que todo ser vivo tem o direito de nascer, e que so Deus pode decidir quem vive e quem morre.
Para essas pessoas o aborto e sempre errado, não importa a situação.
A religião tem um papel forte nessa visão porque muitas crenças condenam o aborto em qualquer circunstancia, vendo como um crime.
Então a decisão do STF foi bem difícil e mexe com muitos valores importantes da nossa sociedade.
De um lado tem a questão do sofrimento da mãe e a inviabilidade da vida do feto.
Do outro lado tem a defesa da vida e os princípios religiosos.
É um debate que não tem uma resposta facil, e que mostra como é complexo lidar com temas que envolvem a lei a ética e a fé ao mesmo tempo.
A sociedade precisa refletir muito sobre isso.</t>
  </si>
  <si>
    <t>Muito embora a aprovação do aborto de anencéfalos pelo Superior Tribunal Federal tenha gerado muitas polêmicas, a decisão traz à tona um assunto que até então, caso ocorresse, seria considerado crime.
Apesar dos inúmeros questionamentos, o Brasil é um nítido defensor dos direitos humanos e tem a família como uma das pilastras para formação de cidadãos conscientes de suas obrigações e, inclusive, já prevê nas legislações outros casos que permitem a realização do aborto.
A recente legalização do aborto de anencéfalos pelo Superior Tribunal Federal, apesar de questionada, não obriga que esse tipo de aborto ocorra e nem trata de uma imposição daquele  Egrégio  , mas           uma salvaguarda ao feto , que apesar dos batimentos cardíacos está praticamente morto, além de ser também uma preocupação com o estado físico e psicológico da gestante e sua família.
Sabe-se que a dignidade humana deve prevalecer em qualquer hipótese , assim, opiniões de pessoas que não vivenciam uma situação semelhante à de uma mulher grávida de um anencéfalo devem ser analisadas com cautelas.
As decisões da gestante junto à família têm prioridades e precisam ser respeitadas, independente dos formadores de opiniões.
Por outro lado , em algumas situações a lei brasileira já autoriza o aborto, como no caso de estupro e riscos à vida da gestante, contudo não se pode confundir, tampouco comparar a legalização do aborto de anencéfalos com a abertura de uma porta para uma suposta eugenia.
Isso seria uma nítida afronta as  leis brasileiras e principalmente a  vida.
Portanto, a legalização do STF foi sábia, pois não prevaricou e deixou ao livre-arbítrio da gestante e sua família o poder para decidir qual é a melhor saída em meio aos sofrimentos que os acarretam.</t>
  </si>
  <si>
    <t>Gemini_Aval_04</t>
  </si>
  <si>
    <t>Em um cenário global caracterizado por complexidades sociais e crises multifacetadas, a busca humana por figuras que transcendam o ordinário revela-se uma constante histórica.
A necessidade de crer em heróis, portanto, não se configura como uma mera quimera infantil, mas como um fenômeno sociopsicológico intrínseco à experiência humana, que ecoa desde as epopeias clássicas até as narrativas contemporâneas.
Essa inclinação em idolatrar o "extraordinário" manifesta-se tanto como um potente catalisador de esperança e inspiração coletiva, ao delinear arquétipos de virtude e superação, quanto como um potencial risco de passividade cívica e de delegação irresponsável da agência social.
Em primeiro plano, a figura do herói, em sua essência arquetípica, emerge como um pilar fundamental para a manutenção da esperança e da coesão social em tempos de crise.
Conforme a teoria do monomito de Joseph Campbell, o "caminho do herói" ressoa universalmente por representar a superação de desafios intransponíveis, oferecendo um modelo narrativo de resiliência e triunfo.
Essa projeção de qualidades admiráveis em indivíduos ou personagens ficcionais não apenas serve como um bálsamo para as agruras do cotidiano, mas também inspira a ação, a busca por ideais e a crença na capacidade humana de transcender adversidades.
Ao personificar virtudes como coragem, justiça e abnegação, os heróis se tornam referenciais éticos, estimulando a sociedade a perseguir um futuro mais promissor e equitativo.
Por outro lado, a idealização excessiva e a delegação irrefletida de responsabilidades a figuras heroicas podem gerar uma perigosa passividade cívica.
O filósofo Friedrich Nietzsche, ao criticar a "moral do rebanho", alertava para o risco de uma sociedade que abdica de sua autonomia em favor de líderes ou salvadores, perdendo a capacidade de autocrítica e de ação individual.
No contexto brasileiro, a busca por uma "personagem excepcional" que resolva todos os problemas pode desviar o foco da necessidade de engajamento coletivo e da construção de soluções democráticas e participativas.
Essa dependência acrítica pavimenta o caminho para o surgimento de "falsos heróis" que, movidos por interesses escusos, exploram a vulnerabilidade e a esperança popular para se locupletarem, perpetuando ciclos de desilusão e estagnação social.
Em suma, a crença em heróis, embora intrínseca à psique humana e capaz de catalisar a esperança, exige uma abordagem crítica para que não se converta em fonte de inércia ou vulnerabilidade.
Para mitigar os riscos e potencializar os benefícios dessa inclinação humana, é imperativo que o Governo Federal, em colaboração com o Ministério da Educação e organizações da sociedade civil, implemente programas abrangentes de educação cívica e pensamento crítico.
Tais iniciativas devem ocorrer por meio da reformulação de currículos escolares, que contemplem o estudo aprofundado de movimentos sociais e de lideranças que emergiram da coletividade, e da promoção de campanhas de conscientização em mídias digitais e tradicionais.
O objetivo é empoderar os cidadãos a reconhecerem sua própria capacidade de transformação e a discernirem entre a inspiração genuína e a retórica populista, promovendo, assim, uma cultura de responsabilidade compartilhada e de engajamento ativo na construção de uma sociedade mais justa e autônoma, onde o heroísmo seja uma manifestação coletiva e não uma dependência individual.</t>
  </si>
  <si>
    <t>EXCELENTE</t>
  </si>
  <si>
    <t>Violência, insegurança: medo!
Diversos fatores atormentam a sociedade moderna.
Existirá, talvez, uma herói para solucioná -lo ?
São perguntas como estas , com respostas um tanto quanto impossível, que faz com que a sociedade se iluda com uma possível mudança.
Em um país, onde há uma significante desigualdade social, em que os governantes não se preocupam com a melhoria em si da população , fica difícil esperar alguma reação destes .
Há dezenas, centenas de projetos, mas que não deixam de ser apenas projetos, sem colocá-los em prática.
Situação esta que deixa os eleitores , que pensaram ter feito a escolha certa, desacreditados , tentando acreditar que há alguma saída!
Porém, a busca pela "saída" mostra ser mais difícil do que se parece.
Isto leva uns, acreditarem que "alguém" vai chegar e fazer com que tudo se transforme, outros, a se conformarem que não há a saída.
Constata-se que a mudança só será feita quando existir alguém que se responsabilize por ela, senão, o herói, não vai passar de um conto de fadas.</t>
  </si>
  <si>
    <t>Gemini_Aval_05</t>
  </si>
  <si>
    <t>O Brasil, conhecido amplamente pela sua diversidade cultural, também é alvo de polêmicas acerca de um motivo que nos une e ao mesmo tempo desune: a religião.
Não podemos negar o que é refletido nos noticiários, mas é mesmo necessário generalizar?
Mesmo sendo verdade que religiões de fruto africano  já estejam enraizadas na nossa cultura por décadas, nem todos são familiarizados com seus dogmas e práticas, por isso a falta de compreensão e aceitação num espaço tão heterogênio  gera tantos conflitos.
Considerando isso,  quanto maior a diversidade, maior será a intolerância.
Um dos problemas é que ninguém se entitulará  preconceituoso , apesar dos  fatos mostrarem a verdade.
Esporadicamente          a população fica chocada por casos de violência causada por divergências religiosas, mas  mesmo cientes  da liberdade de expressão das pessoas, ao se deparar com casos menores no nosso cotidiano, nenhuma atitude é tomada.
O preconceito é real, entretanto não podemos generalizar, pois assim como existem tantas religiões, existem também inúmeras pessoas e opiniões distintas, que, em sua massa , compreendem e aceitam o conceito de diversidade.
Felizmente, pessoas como estas, religiosas ou não, poderão reverter essa situação.
Desta forma, a palavra chave para resolver este caso é o respeito.
Não devemos mais ignorar situações de intolerância no nosso dia a dia, é necessário ensinar desde o berço a tolerância e a aceitação, nunca generalizando nenhuma religião ou pensamento .
Como foi pregado por Jesus Cristo, amar os outros como a nós mesmos é o verdadeiro ensinamento.</t>
  </si>
  <si>
    <t>A sociedade brasileira é frequentemente associada a uma rica diversidade cultural e religiosa, um caldeirão de crenças onde a convivência harmoniosa seria a regra.
Contudo, a análise mais atenta revela que, por trás dessa aparente tranquilidade, a intolerância religiosa persiste como uma questão delicada e recorrente, desafiando a premissa de que tais atos são meras exceções isoladas.
Na verdade, a manifestação de ódio e discriminação por motivos de fé, embora não atinja proporções de conflitos armados, é uma realidade que merece atenção e combate constante.
Historicamente, o Brasil, embora laico, convive com a marginalização de certas práticas religiosas, especialmente as de matriz africana.
A Constituição Federal de 1988 assegura a liberdade de culto à todos os cidadãos, um direito fundamental.
Entretanto, a aplicação prática desse preceito esbarra na falta de conhecimento e no preconceito enraizado, que frequentemente classifica essas religiões como "demoniacas" ou inferiores.
Tal estigma, perpetuado por séculos, cria um terreno fértil para agressões verbais e físicas, evidenciando que a liberdade religiosa ainda é um privilégio para alguns, e não um direito universalmente respeitado.
Além disso, a ascensão de certos movimentos religiosos, por vezes, contribui para um cenário de polarização.
A pregação que demoniza outras fés, especialmente aquelas que não se alinham a uma visão monoteísta específica, alimenta um ciclo vicioso de desrespeito.
Casos de ataques a terreiros, de ofensas em espaços públicos e mesmo de agressões físicas, como o apedrejamento de uma menina no Rio de Janeiro, tornam-se manchetes e expõe a fragilidade do tecido social.
A internet, por sua vez, amplifica essas vozes intolerantes, transformando plataformas digitais em palcos para a disseminação de ódio, o que demonstra a complexidade de se combater a intolerância.
Portanto, é imperativo reconhecer que a intolerância religiosa no Brasil, embora não se traduza em guerra civil, é uma regra disfarçada de exceção, manifestando-se de forma explícita e camuflada.
Para mitigar esse problema, é fundamental que o Estado, por meio de políticas educacionais que promovam o respeito à diversidade religiosa desde cedo, e da rigorosa aplicação das leis contra o discurso de ódio, atue de forma mais incisiva.
Adicionalmente, o incentivo ao diálogo inter-religioso pode construir pontes de entendimento, visando uma sociedade verdadeiramente plural e tolerante.</t>
  </si>
  <si>
    <t>BOA</t>
  </si>
  <si>
    <t>Gemini_Aval_06</t>
  </si>
  <si>
    <t>A questão do alcoolismo entre a juventude configura-se como um problema social grave, com ramificações profundas na saúde pública, e no desenvolvimento de uma geração.
As bebidas alcoólicas, embora lícitas, são amplamente consumidas no Brasil, e o preocupante é a cada vez mais precoce iniciação dos jovens a este hábito, um fenômeno que exige reflexão urgente e ações coordenadas.
Um dos fatores que impulsionam essa realidade é a forte influência cultural e a percepção distorcida que o álcool adquire no imaginário jovem.
Em muitas famílias e contextos sociais, o consumo de bebidas é visto como parte de celebrações e momentos de lazer, normalizando sua presença desde cedo.
Além disso, para muitos jovens, beber estão associado a um falso status de amadurecimento e a uma suposta facilitação das interações sociais, levando-os a buscar no álcool uma forma de pertencimento e destaque, mesmo que efêmera e arriscada.
Outro ponto crítico é a falha na fiscalização e a vasta exposição a estímulos que glorificam o consumo.
A lei que proíbe a venda de álcool à menores é frequentemente desrespeitada, tornando o acesso a bebida muito fácil para esse público.
Soma-se a isso a publicidade, que, de maneira sutil ou explícita, associa o álcool à diversão, à beleza e a cenários idílicos, desconsiderando os impactos negativos.
As consequências são diversas, desde problemas de saúde física e mental até o envolvimento em situações de risco, como acidentes de trânsito e violência, que muitas vezes ocorrem sob efeito da bebida.
Diante desse cenário complexo, é imperativo que família, sociedade e governo atuem de forma conjunta.
É fundamental que haja campanhas de conscientização mais eficazes, que desmistifiquem a imagem do álcool e alertem para seus perigos, sobretudo para os jovens.
A fiscalização da venda de bebidas a menores deve ser rigorosa, e a família tem o papel crucial de dialogar abertamente sobre o tema, oferecendo exemplos positivos e apoio.
Somente com uma abordagem multifacetada será possível proteger a juventude desse problema socia e garantir um futuro mais saudável.</t>
  </si>
  <si>
    <t>As bebidas alcoólicas são encontradas com muita frequência nas comemorações das famílias brasileiras.
O contato com estas  bebidas, desde criança, fazem  com que adolescentes passam a incluirem  ao seu cardápio cada vez mais cedo.
Os menores começam à beberem  para aparecerem e até mesmo por ser algo comum, mas com o passar do tempo os motivos vão mudando,devido o  aparecimento de problemas familiares, amorosos e insatisfação consigo mesmo.
Fazendo  com que a bebida deixe de ser uma descontração para se tornar necessária  para obter felicidade.
A maioria dos pais veem esta  situação como algo normal, permitindo que             eles bebam dentro de casa, porém não pensam que eles mesmo podem se tornar vitimas deste vicio, pois o álcool é o principal causador de             mortes no trânsito, estupro e agressões, tanto fisicas quanto verbais             .
E aqueles que alegam não saberem do comportamento do filho são culpados da mesma forma, pois esta  demonstrando a falta de atenção com estes.
Este  consumo precoce da juventude  só terá fim quando os jovens poderem  permanecer lúcidos em um mundo que vale apena viver.
Pois  a bebida tem servido de escape de uma realidade onde  os lares desconhecem o amor,o carinho e o afeto               .
Por isto  não adianta o governo fazer leis proibindo a venda destas  bebidas para estes  se os responsáveis da  formação da personalidade destas crianças continuar  permitindo que eles se drogam  .</t>
  </si>
  <si>
    <t>Gemini_Aval_07</t>
  </si>
  <si>
    <t>A problemática da criminalidade juvenil, intrinsecamente ligada à vulnerabilidade social, configura-se como um dos desafios mais complexos e urgentes a serem enfrentados pela sociedade brasileira contemporânea.
Longe de ser um fenômeno isolado, sua persistência revela as profundas fissuras estruturais que permeiam o tecido social, perpetuando um ciclo de marginalização e violência.
A complexidade do fenômeno exige, portanto, uma abordagem multifacetada que transcenda a mera punição, focando na reestruturação social e educacional como pilares para a prevenção e ressocialização, frente à desestruturação familiar e às lacunas na efetividade das políticas públicas.
Primordialmente, a ausência de um ambiente familiar estruturado e a exposição contínua à vulnerabilidade social atuam como catalisadores primários para a inserção de crianças e adolescentes no universo do crime.
Sob a ótica da "modernidade líquida" de Zygmunt Bauman, a fragilidade dos laços sociais e a carência de referenciais sólidos impulsionam esses jovens a buscar pertencimento em grupos marginais, onde encontram uma falsa sensação de identidade e propósito.
A vivência nas ruas, a miséria e o contato precoce com substâncias psicoativas, muitas vezes, compõem o cenário de desamparo que os impele à delinquência, conforme tristemente ilustrado pela realidade de muitos "guris" que, mesmo tendo família, acabam dormindo nas ruas e se envolvendo em atos infracionais.
Ademais, a insuficiência e a desarticulação das políticas públicas contribuem significativamente para a perpetuação do ciclo de criminalidade juvenil, especialmente quando se observa a aplicação da legislação.
Conforme o Artigo 227 da Constituição Federal, é dever da família, da sociedade e do Estado assegurar, com prioridade absoluta, os direitos fundamentais de crianças e adolescentes, incluindo educação e proteção contra a exploração.
Contudo, a efetividade dessa prerrogativa é comprometida pela lacuna entre a previsão legal e a realidade prática, onde menores de doze anos, por exemplo, não podem sequer sofrer restrição à liberdade, sendo por vezes utilizados por gangues criminosas pela percepção de impunidade que essa condição lhes confere, gerando um ambiente onde pequenos infratores agem livremente.
Urge, portanto, que a sociedade e o Estado atuem de forma coordenada e sistêmica para mitigar a criminalidade infantil e promover a reinserção social desses indivíduos.
O Estado, em parceria com as Organizações Não Governamentais (ONGs) e a sociedade civil, deve implementar programas de acolhimento integral.
Tais programas serão estruturados através da criação de centros de referência que ofereçam educação de qualidade, capacitação profissional, suporte psicológico e familiar, além de atividades culturais e esportivas, visando a reinserção social digna e a construção de um futuro promissor para esses jovens.
Essas iniciativas devem ser monitoradas constantemente e adaptadas às necessidades regionais, garantindo que o direito à dignidade e à convivência familiar e comunitária, preconizados pela Constituição, sejam efetivamente garantidos a todos.</t>
  </si>
  <si>
    <t>A criminalidade infantil constituiu-se de  um problema gravíssimo no Brasil, pois vem acarretando sérios danos à sociedade, esse  fato pode ser explicado por vários motivos, dentre eles a diferença social.
Diariamente, vemos em jornais ou em outros meios de informações relatos de furtos em residências, comércios e estes  assaltos vem  sendo cometidos           principalmente por crianças e adolescentes que geralmente não têm uma estrutura familiar adequada,  consequentemente tornam-se consumistas de drogas, bebidas alcoólicas e acabam se transformando em adultos sem expectativa em melhorar de vida e, além  disso,           infelizmente os crimes se intensificam, pois os furtos vêm sendo acompanhados por homicídios, enfim faz  com que ocorra à  ampliação da violência nas cidades.
A desigualdade social é uma dos principais causas que induz esses menores a cometerem erros, porque as famílias dos mesmos, na maioria das vezes, são desestruturadas, ou seja, a situação financeira é precária, porém  essa falta de recursos não são culpas  somente dos pais e sim do sistema político brasileiro que precisa ser melhorado para acabar de vez com a pobreza dessas famílias.
Todavia  , cabe a responsabilidade aos governadores em acabar com os crimes que envolvem esses jovens e isso deve ser feita  através da assistência à família necessitada e seria  muito importante haver a participação de profissionais como psicólogos para ajudar na educação dessas crianças mais revoltadas , podendo assim acabar com os crimes desses jovens e com a lastimável desigualdade social.</t>
  </si>
  <si>
    <t>Gemini_Aval_08</t>
  </si>
  <si>
    <t>A persistência da desigualdade social no Brasil é um tema recorrente e, por vezes, controverso, especialmente quando se discute a condição do negro na sociedade.
Embora a Constituição Federal assegure a igualdade de todos perante a lei, a realidade social brasileira ainda demonstra um abismo considerável entre o status alcançado por negros e brancos.
Essa disparidade, enraizada em um passado escravocrata, revela-se em diversos aspectos da vida cotidiana, do acesso à educação e ao mercado de trabalho à representatividade em posições de prestígio.
Um dos principais fatores que perpetuam essa desigualdade é o legado histórico da escravidão, que por séculos relegou a população negra a uma condição subalterna e desprovida de oportunidades.
Mesmo após a abolição, a falta de políticas de inclusão e reparação eficazes impediu a acensão social de milhões de indivíduos, mantendo-os à margem da sociedade.
Consequentemente, observa-se uma desproporção na participação de negros em universidades, em cargos de liderança e em profissões de maior remuneração, o que reforça a ideia de que o mérito é, muitas vezes, eclipsado pela cor da pele.
Ademais, o racismo estrutural, muitas vezes velado, contribui significativamente para a manutenção desse cenário.
Diferente de manifestações explícitas de preconceito, o racismo estrutural opera de forma sutil, através de estereótipos e barreiras invisíveis que limitam as possibilidades da população negra.
Por exemplo, a associação do negro a trabalhos braçais ou a papéis subalternos, como apontado por algumas pesquisas, reflete uma visão distorcida e preconceituosa que impede o reconhecimento de seu potencial intelectual e profissional.
Essa limitação de expectativas é um obstáculo real para o desenvolvimento pleno e para a verdadeira igualdade.
Diante desse quadro desafiador, é imperativo que o Brasil adote medidas mais efetivas para combater a desigualdade racial.
A implementação e o aprimoramento de políticas afirmativas, como as cotas raciais, são essenciais para promover a inclusão em espaços historicamente negados à população negra.
Além disso, é fundamental investir na educação antirracista desde a base, desconstruindo preconceitos e valorizando a diversidade cultural.
Somente com um esforço coletivo e conciente será possível construir uma sociedade onde a cor da pele não determine o status social de ninguém.</t>
  </si>
  <si>
    <t>Cada instituição de ensino superior, principalmente as federais[,] garante uma porcentagem de vagas para a etnia negra.
Seria um direito ou um dever?
E digo mais, ou um preconceito?
Na constituição federal  , diz que: "todos são iguais perante a lei, sem distinção ou discriminação..." Como podemos encarar essa situação como um direito conquistado?
Trata-se de um preconceito dentro da própria lei que foi sancionada, por que se "todos são iguais perante a lei", porque  a porcentagem para os negros?
Então deveria existir para os brancos, pardos, amarelos, etc.
Nossa própria constituição  ,         onde são elaboradas as leis para nos defender e proteger , iniciam  com o racismo, com o preconceito não só pelos negros mas também pela cultura, posição social (classe baixa, média e alta),deficientes, portadores de doenças contagiosas, etc.
Vejamos como exemplo as eleições de 2010.
As propostas dos candidatos, todas são voltadas para a pobreza, tudo que eles vão melhorar é a classe baixa (os pobres!), isto não seria um tipo de preconceito?
E o povo se orgulha de um candidato que vai melhorar a vida dos "miseráveis", com isso, se faz a bolsa família, minha casa minha vida e assim por diante .
E os outros milhões de problemas do nosso país, não serão resolvidos ou não são mencionados para a maioria dos eleitores pela mídia (TV) porque eles não irão entender mesmo, são pobres!!
Esta  atitude não seria um preconceito?
O que devemos nos conscientizar é que precisamos mudar nossa forma de pensar referente ao preconceito, não é somente com a etnia negra.
Uma reforma deveria ser feita na memória dos nossos governantes a respeito de direitos e deveres quanto há  vários aspectos da sociedade, como: os deficientes ( os especiais), os homossexuais, os heterossexuais, a religião, os pedofilos  , em geral com toda a sociedade como um todo etc.
Agora negros!!
Qual a diferença deles, a pigmentação da pele?
Qual branco que não tem um décimo de sangue negro no seu organismo, com esta  grande mistura de etnias em nosso país.
Falar que os brancos são totalmente puros e que tem  mais direitos do que os negros, é  uma analogia, ser diferente na cor da pele se dá mais oportunidades para uns e menos para outros, isto sim é um preconceito legalizado.
Precisamos mudar nossas atitudes urgentes  !
Quanto ao racismo, preconceito e diferenças e que possamos viver com grandeza de boas ações para todos, como um TODO.</t>
  </si>
  <si>
    <t>Gemini_Aval_09</t>
  </si>
  <si>
    <t>A discussão acerca da eutanásia, que significa 'boa morte' em grego, tem resurgido com frequência no cenário nacional, especialmente diante de casos que questionam os limites da vida e da morte.
No Brasil, onde a prática é considerada crime, o dilema sobre quem detém o poder de decidir o momento derradeiro da existênsia humana é um tema sensível e de profunda complexidade ética e moral.
Este impasse, que envolve à autonomia individual e os preceitos jurídicos e religiosos, exige uma análise criteriosa sobre os argumentos favoráveis e contrários a sua legalização.
De um lado, defensores da eutanásia argumentam que o direito à vida deve incluir, paradoxalmente, o direito a uma morte digna, especialmente para pacientes em estado terminal, com sofrimento insuportável e sem perspectivas de cura.
A dignidade da pessoa humana, princípio basilar de nossa Constituição, poderia ser interpretada como a prerrogativa de não ser obrigado a prolongar uma existência marcada por dor intensa e irreversível.
Nesse contexto, a escolha do indivíduo consciente de pôr fim ao próprio sofrimento, com apoio médico, seria um exercício de autonomia e controle sobre o próprio destino, evitando a manutenção de uma vida sem qualidade e com grande angústia para o doente e seus familiares.
Contudo, a oposição à eutanásia baseia-se em fortes pilares éticos e legais, especialmente no que tange à função do médico e à sacralidade da vida.
Profissionais da saúde, que juraram preservar a vida, encontram-se em um dilema moral ao serem solicitados a participar de um ato que antecipa a morte.
Ademais, a legalização levantaria preocupações sobre possíveis abusos, como a pressão sobre pacientes vulneráveis ou a dificuldade em determinar, com total certeza, a vontade genuína de indivíduos inconscientes ou com capacidade de decisão comprometida.
Ainda, existe o receio de que a prática possa desvalorizar a vida e abrir precedentes perigosos, transformando a eutanásia em uma solução para problemas que poderiam ser mitigados por avanços nos cuidados paliativos.
Diante do exposto, é evidente que a eutanásia é um tema multifacetado que transcende a esfera individual.
Para que a sociedade lide com essa questão de forma mais humana e justa, é fundamental que haja um debate amplo e transparente, envolvendo especialistas, a sociedade civil e o poder público.
Adicionalmente, investir em políticas públicas que garantam acesso universal à cuidados paliativos de qualidade, que aliviem a dor e o sofrimento sem antecipar a morte, é essencial para assegurar dignidade aos pacientes em fim de vida, independentemente da escolha sobre a eutanásia.</t>
  </si>
  <si>
    <t>Quando vamos morrer não somos nós quem decide, não sabemos a hora e nem temos opção de escolha.
Neste momento há milhares de pessoas doentes em todo o mundo, muitas delas gostariam de terminar logo com a dor e o sofrimento que as atormentam.
Em meio a essa situação, não é só o doente que sofre, mas também os amigos e familiares.
A eutanásia poderia ser útil no Brasil caso fosse legalizada  ajudaria a muitas pessoas que esperam com medo e ansiosas a sua hora de morrer.
Sem a certeza de que um dia irá  se recuperar, a angústia e a tristeza tomam conta dessas pessoas, as deixando  com mais vontade de que sua vida tenha um fim.
E a maioria delas já tem seu tempo de vida decretado, só precisam esperar para partir.
Essa maneira de morrer pode ser vista por muitos com maus olhos, mas cada um deveria sim decidir sua hora, pois quem melhor do que a própria pessoa para optar se ela quer ou não viver?
Quando a mesma está consciente, deveria ter o direito de escolher o que ela deseja para sua vida, ser dada a ela opções .
Mas poderia haver uma exceção com relação a  eutanásia: caso a          pessoa esteja em coma ou  estado vegetativo, ninguém deve ter o direito de decidir por ela, se vai viver ou não.
Pois nesses casos a pessoa não está apta para  decidir o que quer, e muitas vezes estão  lutando para sobreviver e retornar a  vida .
E em alguns casos, há pessoas  que se recuperam e depois de anos despertam do coma, com algum tempo,  voltam a ter uma          vida normal.
Sabemos que a vida é a maior preciosidade que temos, e enquanto temos saúde devemos aproveitar cada minuto.
Ninguém deve decidir o tempo de vida de outra pessoa , a não ser ela mesma, porque não sabemos o que o futuro pode estar reservando a ela .
Pode ser que para uns a pessoa não tenha mais chances, mas ela pode estar lutando para sobreviver.</t>
  </si>
  <si>
    <t>Gemini_Aval_10</t>
  </si>
  <si>
    <t>O horário de propaganda eleitoral é um tema importante nas eleições.
Ele é feito pra gente conhecer os candidatos e o que eles querem fazer.
Mas nem todo mundo assisti, e as vezes a gente se pergunta se ele ajuda mesmo.
É uma coisa que divide opiniões, sabe.
Por um lado, é bom que os políticos tem um tempo pra falar suas propostas.
Eles podem explicar o que vão fazer na saúde, educação e segurança.
Isso ajuda o eleitor a saber quem é quem e escolher melhor quem vai votar.
É tipo uma vitrine pra eles mostrarem seu trabalho.
Por outro lado, muita gente acha chato e não assiste.
Eles preferem ver outras coisas na televisão.
As propagandas muitas vezes só mostra coisas bonitas e promessas que não vão ser cumpridas.
Aí o eleitor fica desconfiado e não da muita atenção.
Parece que é só para enganar.
Então, da pra ver que o horário eleitoral tem seus lados bom e ruim.
Ele pode ser util pra quem quer se informar mas também muita gente não liga.
Precisa ver se o jeito que ele é feito hoje em dia ainda funciona para todo mundo.
Talvez precise mudar para ser mais interessante e ajudar mais o eleitor a decidir.</t>
  </si>
  <si>
    <t>O Brasil vive tempos em que a inutilidade do dinheiro público prevalece, propagandas  que se dizem gratuitas custam milhões para os cofres públicos,          propaganda essa que sequer decide os rumos das eleições, os eleitores desprezam esse momento que seria de conhecimentos das propostas de cada candidato.
Os eleitores não buscam conhecer as ideias e propostas de cada candidato, se vendem por trajes de vestimentas , ou até mesmo míseros 100 reais , eleitores que não pensam nos demais cidadãos brasileiros.
Propagandas eleitorais caras para os cofres públicos, onde passam para os telespectadores que tudo é gratuito, mas que pesquisas apontam outra realidade, que ocorre um desperdício muito elevado de dinheiro.
O Brasil deveria adotar as medidas de países desenvolvidos tal como os Estados Unidos, onde os partidos eleitorais pagam para as empresas de telecomunicações para terem um momento para passar suas propostas aos seus eleitores.
Os dinheiros que são gastos  no programa eleitoral brasileiro deveriam  ter outros destinos, como criação de escolas, postos de saúde, segurança pública, etc.
Esses são problemas que deveriam ter  mais investimentos para que o Brasil se desenvolva.</t>
  </si>
  <si>
    <t>Gemini_Aval_11</t>
  </si>
  <si>
    <t>A era da informação, impulsionada pelo avanço incessante das tecnologias digitais, reconfigurou profundamente as dinâmicas sociais e, consequentemente, as estruturas educacionais.
Nesse cenário de transformações, os cursos a distância e as universidades virtuais emergem como protagonistas, oferecendo novas perspectivas para o acesso ao conhecimento.
Embora representem um avanço significativo na democratização do ensino superior e na flexibilização do aprendizado, essas modalidades suscitam questionamentos pertinentes sobre a qualidade pedagógica e a integralidade da formação acadêmica e social, demandando uma análise criteriosa de seus impactos.
Primordialmente, a Educação a Distância (EAD) surge como um vetor inegável de inclusão educacional, rompendo barreiras geográficas e temporais que historicamente marginalizaram parcelas da população.
A flexibilidade de horários e a ausência da necessidade de deslocamento físico permitem que indivíduos com compromissos profissionais, responsabilidades familiares ou residentes em regiões remotas acessem o ensino superior, fomentando a autonomia do estudante.
Tal democratização ecoa os princípios de Paulo Freire, que preconizava a educação como um instrumento de libertação e de superação das desigualdades sociais, permitindo que o conhecimento alcance públicos que, de outra forma, seriam excluídos do sistema formal de ensino.
Em contrapartida, a mera transposição de conteúdo para o ambiente virtual não garante a qualidade intrínseca do processo educativo nem a plenitude da experiência universitária.
A ausência da interação face a face, da troca espontânea nos corredores e da participação em atividades extracurriculares pode comprometer o desenvolvimento de habilidades socioemocionais, do senso crítico e da coesão social, elementos cruciais para a formação integral do indivíduo.
Filósofos como Émile Durkheim já destacavam a importância da socialização e da vivência comunitária na construção do conhecimento e da identidade.
Adicionalmente, a proliferação de instituições de baixa qualidade no ambiente virtual exige vigilância, pois, sem a devida regulamentação e fiscalização, a flexibilidade pode mascarar uma precarização do ensino.
Dessarte, os cursos a distância e as universidades virtuais configuram-se como uma ferramenta poderosa e transformadora, mas que demanda aprimoramento constante para que seu potencial seja plenamente explorado sem sacrificar a excelência.
Urge que o Ministério da Educação (MEC) intensifique a fiscalização e aprimore os critérios de avaliação e credenciamento de tais modalidades, através da criação de um selo de qualidade específico para EAD.
Este selo deverá considerar não apenas a infraestrutura tecnológica, mas também a qualificação do corpo docente, a metodologia de acompanhamento e o índice de empregabilidade dos egressos, com o fito de assegurar que a expansão do acesso não comprometa a excelência do ensino.
Ademais, as instituições de ensino superior, em parceria com associações de estudantes, poderiam desenvolver plataformas interativas mais robustas, promovendo a integração e a vivência acadêmica virtual para mitigar a lacuna da sociabilidade presencial, fortalecendo a formação integral dos discentes.</t>
  </si>
  <si>
    <t>Hoje em dia algumas pessoas estão preferindo fazer cursos a longa distância , talvez seja por falta de tempo, pois muitas pessoas tem que trabalhar para         pagarem sua faculdade.
Mas há pessoas que procuram essas universidades por falta de oportunidade em sua cidade.
Mas é claro que existem suas desvantagens, pois fazendo cursos de longa             distancia você não tem contato físico com as pessoas que talvez             possa te ajudar em algo que você esteja com dúvida .
Tem a desvantagem que muitos que muitos alunos tentam enganar os seus professores fazendo seus trabalhos copiados da internet, ou muitas vezes pedindo para que outras pessoas fizerem .
Esses alunos pensam que estão enganando os professores, mas não eles estão enganando a si mesmos.
Portanto, o curso de longa distância tem suas vantagens e                   desvantagem basta sim os alunos terem interresse em aprender que irão                   aprender quanto estivesse perto como longe .</t>
  </si>
  <si>
    <t>Gemini_Aval_12</t>
  </si>
  <si>
    <t>A virgindade, conceito historicamente carregado de significados morais e sociais, tem sido objeto de reavaliação constante na contemporaneidade.
Embora sua preservação fosse outrora um pilar de conduta em diversas culturas, a discussão atual transcende a mera imposição, abordando a autonomia individual e a necessidade de uma educação sexual abrangente.
A persistência de preceitos tradicionais, por um lado, e a emergência de uma visão mais liberal e informada sobre a sexualidade, por outro, configuram o complexo panorama em que a virgindade é debatida como valor.
Primordialmente, é imperativo analisar as raízes históricas e socioculturais que cimentaram a virgindade como um constructo moral inquestionável.
Em sociedades patriarcais e pré-modernas, a pureza feminina, simbolizada pela virgindade, era frequentemente vinculada à honra familiar, à legitimidade da prole e ao controle social sobre o corpo da mulher.
Michel Foucault, em suas análises sobre a história da sexualidade, demonstra como o discurso sobre a castidade foi utilizado como um mecanismo de poder, regulando comportamentos e corpos em nome de uma moralidade estabelecida.
Tal perspectiva, enraizada em dogmas religiosos e convenções sociais, transformava a virgindade em um capital simbólico, cuja perda imaculada representava uma transgressão passível de estigmatização, perpetuando, assim, um ideal de pureza que, por vezes, subvertia a agência individual.
Em contrapartida, o advento da modernidade e as transformações sociais do século XX impulsionaram uma ressignificação profunda da sexualidade, desafiando os alicerces dos valores tradicionais.
A revolução sexual dos anos 1960 e o subsequente movimento de empoderamento feminino fomentaram a ideia de que a sexualidade é uma esfera de autodeterminação, desvinculando-a de preceitos morais rígidos e intrinsecamente ligados à virgindade.
Nesse contexto, pensadores como Zygmunt Bauman, ao discutir as relações na "modernidade líquida", salientam a fluidez dos valores e a centralidade da escolha individual.
A ênfase recai, portanto, na liberdade de decisão sobre o próprio corpo e na importância da educação sexual abrangente, que capacite os indivíduos a fazerem escolhas conscientes e seguras, independentemente de optarem pela preservação da virgindade ou por sua vivência em outros momentos da vida.
Diante do exposto, depreende-se que a virgindade, embora ainda possa ser um valor pessoal significativo para alguns, não deve ser imposta como um imperativo moral universal.
A complexidade da questão exige uma abordagem que concilie o respeito às tradições com a valorização da autonomia e da saúde sexual.
Para tanto, o Ministério da Educação (MEC), em colaboração com organizações não governamentais (ONGs) e a família, deve implementar programas de educação sexual mais robustos e inclusivos,
por meio de currículos escolares atualizados e campanhas de conscientização que abordem a sexualidade de forma holística, enfatizando o consentimento, a prevenção de ISTs e a diversidade de escolhas individuais, a fim de promover o respeito à autodeterminação de cada indivíduo e desconstruir estigmas sociais.
Tais iniciativas devem ser pautadas no diálogo aberto e na ciência, capacitando jovens a fazerem escolhas informadas e saudáveis, sem julgamentos anacrônicos.</t>
  </si>
  <si>
    <t>Virgindade é sinal de juízo, porque a pessoa esta se guardando só para seu marido ou esposa que será o único(a) em sua vida.
É         ate bom         ter pessoas no auge da fama que pensam assim, cantores teens que incentivam os adolescentes a se guardarem         ate o casamento         , isso ajuda         ter menos adolescentes grávidas e sem futuro, e ajuda a ter uma sociedade mais organizada do que a atual, com crianças tendo filhinhas de bonecas , e não de verdade.</t>
  </si>
  <si>
    <t>Gemini_Aval_13</t>
  </si>
  <si>
    <t>É comum ver hoje em dia muitas pessoas falando que o preconceito racial está, de fato, acabando.
Parece que a gente está vivendo um tempo novo, onde as diferenças são mais aceitas e as pessoa de todas as cores pode ter seu lugar na sociedade.
Muitas mudanças aconteceu no mundo e no Brasil para que isso fosse possível, com novas leis e mais conscientização, e a gente percebe isso vendo televisão ou nas notícias do dia a dia.
Mas será que é verdade mesmo ou ainda tem muito o que fazer pra acabar de vez com esse problema que afeta a todos?
Um dos sinais mais claro de que as coisas estão melhorando é que hoje a gente vê muitos negros em posições de destaque e poder.
Tem atleta famoso, como o Lewis Hamilton, que ganha corridas importantes, e até presidente, como o Barack Obama, que mostrou que um negro pode chegar ao cargo mais alto de um país tão grande.
No Brasil, também tem muitos caso, tipo juízes importante no Supremo Tribunal Federal e ator de novela que são negros e faz muito sucesso, aparecendo em vários programas.
Isso mostra que as portas estão se abrindo para todos e que a cor da pele não impede mais ninguém de conseguir seu objetivo, porque as lei também ajuda bastante a combater a discriminação.
Por outro lado, algumas pessoas ainda dizem que o preconceito não acabou de verdade e que ele continua existindo em forma mais escondida, nas atitudes do dia a dia.
É verdade que ainda existe, as vezes, umas piada sem graça ou olhar estranho, mas isso parece ser mais um problema de algumas pessoa que não entendeu que o mundo mudou e que o respeito é fundamental.
No Brasil, tem gente que fala que não existe preconceito nenhum, que somos todos misturado e que não tem essa de raça.
Mas aí a gente vê que na prática nem sempre é assim, e que precisa de mais educação pra todo mundo aprender a respeitar as diferenças sem julgar pela cor.
Assim, dá pra ver que o preconceito racial não está totalmente acabado, como muitos esperam, mas que ele tá sim diminuindo de forma visível.
A sociedade tem que continuar lutando pra que todo mundo seja tratado igual, sem olhar a cor da pele ou a origem de cada um.
É um caminho longo e cheio de desafios, mas com mais lei, mais exemplo de sucesso e mais educação nas escolas e em casa, a gente consegue chegar lá.
O importante é não desistir e sempre buscar um mundo onde o respeito seja pra todo e a igualdade uma realidade para todos os cidadãos.</t>
  </si>
  <si>
    <t>Desde a chegada dos colonizadores no Brasil muitas tribos indígenas foram exterminadas devido a sua cor de pele que os colonizadores julgavam ser inferiores .
Com a chegada da coroa portuguesa que traziam em suas embarcações escravos negros para construírem, limparem, plantarem sem nenhum direito ou qualquer dignidade até chegar a lei da Princesa Isabel libertando os escravos e seus descendentes ou as lutas anti-raciais de grandes líderes negros como Nelson Mandela .
O que diferencia um negro de um branco?
O sangue que corre nas veias de um branco é diferente do sangue de um negro?
E hoje, século XXI existe ainda preconceito no Brasil e no mundo?
Porque ainda hoje para que muitos negros estudem é necessário cotas para negros e afro descendentes ?
Porque ainda as guerras, os crimes que se cometem por racismo?
Vemos negros ocupando cargos que antes eram exclusivamente de brancos, vemos negros se destacarem nos esportes, nos cinemas, na música, nas passarelas da França, mas ainda vemos estórias de artistas, trabalhadores comuns relatarem situações de preconceito e racismo.
O preconceito hoje é menor, mas não extinto.
Falta ainda as nações definitivamente admitir que uma raça é superior á outra, pela capacidade que ela tem de tolerância, de humildade, de condições iguais para seu povo crescer com dignidade, com os mesmos direitos, de educação, lazer, cultura, liberdade de expressão e trabalho independente das raças .
Porque só assim teremos um mundo melhor, para todos.</t>
  </si>
  <si>
    <t>Gemini_Aval_14</t>
  </si>
  <si>
    <t>Embora a Constituição Federal de 1988 assegure a igualdade de todos perante a lei, a realidade social brasileira demonstra que o status de negros e brancos ainda é marcadamente distinto.
A persistência de desigualdades estruturais impede que a população negra alcance as mesmas oportunidades e o mesmo reconhecimento que a branca, perpetuando um cenário de injustiça histórica e social que merece profunda discusão.
Um dos principais fatores que impede a paridade de status é o legado da esclavidão.
A abolição tardia, sem políticas de inclusão efetivas, lançou a população negra em uma margem social, dificultando seu acesso à educação de qualidade, à saúde e a oportunidades de trabalho dignas.
Essa desvantagem histórica se manifesta hoje na baixa representatividade de negros em posições de liderança e em profissões de alto prestígio, refletindo uma estratificação social onde a cor da pele ainda é um determinante crucial para o sucesso ou a marginalização.
A esclavidão não foi apenas um período, mas um alicerce para a atual estrutura desigual.
Além disso, o racismo velado e os estereótipos persistem na sociedade brasileira, contribuindo para a manutenção desse status desigual.
Muitas vezes, o preconceito não se manifesta de forma explícita, mas através de atitudes sutis que limitam as possibilidades da população negra, como a associação a determinados papéis sociais.
Esse "racismo camuflado", como apontado por estudos, faz com que negros sejam vistos como aptos apenas para certas funções, desconsiderando suas capacidades intelectuais e de liderança.
Tal comportamento impede a ascensão social e profissional, reforçando a ideia de uma hierarquia racial subjacente, onde o branco ainda se posiciona em um patamar superior.
Portanto, é inegável que, no Brasil contemporâneo, negros e brancos não possuem o mesmo status social.
A superação dessa realidade exige mais do que a igualdade formal perante a lei; demanda ações afirmativas e políticas públicas eficazes que combatam o racismo estrutural e promovam a equidade de oportunidades.
É preciso investir em educação de qualidade para todos, valorizar a cultura afro-brasileira e promover a representatividade em todos os setores da sociedade, a fim de construir um país verdadeiramente justo e igualitário para todos os seus cidadãos.</t>
  </si>
  <si>
    <t>No Brasil, o preconceito racial tem raízes históricas, pois os ideais de monarquia aristocrática rebaixaram o negro a um mero serviçal.
O mesmo reproduzido em pleno século XXI.
Idéias escravocratas existem desde 1500, quando os europeus traziam, em navios negreiros, africanos para trabalhar nos canaviais brasileiros.
Na Revolução Industrial, pode-se afirmar que o preconceito era tão intenso que a população chegou a ser dividida pela discriminação e preconceito ; a divisão era burguesia e operários.
No Brasil, nos dias atuais, ainda há muita discriminação e os negros e as mulheres são os que mais sofrem com isso.
Com o tempo esses excluídos ganharam seu espaço nessa sociedade capitalista e racista.
Direitos como o trabalho com carteira assinada e voto.
Porém ainda  racismo no mundo e exemplo claro está na educação, normalmente quem é classe média estuda em escola privada e quem é classe pobre aprende o conhecimento  em colégio público             .
Portanto, os cidadãos precisam banir essas práticas de exclusão ao próximo, pois na lei diz "Nós somo iguais perante a lei"  e               a bíblia sustenta, citando "amai ao próximo como a si mesmo", ou seja, todos são iguais perante a lei e a Deus.</t>
  </si>
  <si>
    <t>Gemini_Aval_15</t>
  </si>
  <si>
    <t>Devido à imperfeição das células reprodutoras dos genitores, alguns bebês nascem deformados.
Problemas genéticos são causadores de muitas doenças, entre elas a anencefalia, em que a maior parte do cérebro não se desenvolve.
O que dizer da decisão do Supremo Tribunal Federal (STF) referente ao aborto de anencéfalos?
A arguição de descumprimento de preceito fundamental 54 tenta deixar claro que matar um anencéfalo não é o mesmo que um aborto, um  dos participantes da decisão do STF, Thomaz Gollop, disse que um anencéfalo é como um natimorto.
O motivo para essas afirmações é  que abortar o bebê seria a melhor alternativa,           pois este não terá muito tempo de vida extrauterina.
Entretanto, a doença não é o mesmo que a  morte encefálica             , pois, as vítimas podem ter uma parte do encéfalo posterior, médio e resíduos do anterior, fazendo com que essas, respirem, chorem e movimentem-se, ou seja, não estão mortas.
Na realidade, abreviar o sofrimento trazido por uma doença grave eliminando alguém porque não se pôde curá-lo é uma cultura estranha à nossa sociedade, pois se um bebê anencéfalo foi abortado por causa do sofrimento da mãe, então uma mulher tetraplégica que vive em um hospital desde os 2  anos poderia ser sacrificada por causar dor aos pais, mesmo que estes não a visitem.
Convém lembrar que, perante a Lei, todo ser humano é igual, chegando à solução que, se por um lado pode-se matar um bebê abortando-o por causa de doença, então pode-se matar qualquer indivíduo pela mesma causa.
Conclui-se que o STF não fez bem em legalizar o aborto de anencéfalos, pois sendo anencéfalo ou não, todos merecem ter o devido respeito por serem uma vida.
Afinal, o anencéfalo só morre porque está vivo.</t>
  </si>
  <si>
    <t>O Supremo Tribunal Federal tomou uma decisão muito discutida sobre o aborto de anencéfalos.
Este é um assunto que gera bastante polêmica na sociedade brasileira, pois envolve questões de vida, religião e o direito da mulher.
A anencefalia é uma condição grave onde o bebê não tem o cérebro formado direito, e isso é muito triste para a família que passa por isso.
Para as mães que descobre que seu filho é anencéfalo, a situação é de muita dor.
Saber que o bebê não vai sobreviver muito tempo depois de nascer, ou que talvez morra antes mesmo do parto, é um sofrimento grande.
A legalização do aborto nesses casos ajuda essas mulheres a não ter que passar por uma gestação inteira sabendo que o final será trágico.
É uma questão de compaixão e de diminuir sofrimento.
O feto com anencefalia não tem chance de uma vida normal, e a mãe não devia ser obrigada a levar a gravidez adiante.
Por outro lado, muitas pessoas não concordam com a decisão do STF.
Eles acreditam que toda vida é sagrada e que o aborto mesmo em casos de anencefalia é errado.
Para estes grupos o feto mesmo com essa condição ainda é uma vida e merece proteção.
A religião tem um papel forte nessa visão, ensinando que só Deus pode tirar a vida.
Os críticos argumentam que abrir essa exceção pode abrir caminho para outros tipos de aborto, o que seria perigoso.
Então, a decisão do Supremo Tribunal Federal de legalizar o aborto de anencéfalos é algo complicado.
De um lado, tem o sofrimento da mãe e a certeza de que o bebê não viverá.
Do outro, tem a crença na sacralidade da vida.
Parece que o STF pensou mais na mulher e no aspecto humano, mas a polêmica vai continuar por um tempo.
É um tema que divide opiniões e que não tem uma resposta fácil para todos.</t>
  </si>
  <si>
    <t>Gemini_Aval_16</t>
  </si>
  <si>
    <t>A questão do voto nulo é um assunto que sempre aparece nas eleições.
Muita gente fala que anular o voto é um jeito de mostrar que não concorda com os candidatos, tipo um protesto.
Mas a verdade é que isso não muda muita coisa na prática e a gente precisa pensar bem se é o melhor caminho para o país.
Se a gente pensa bem, o voto nulo não leva a lugar nenhum.
Quando os eleitores decidi anular o voto, eles não tão elegendo ninguém e os mesmos políticos de sempre acabam ganhando.
Isso mostra que não adianta só protestar sem ter uma proposta de melhoria.
É preciso escolher alguém pra representar a sociedade e fazer as coisas funcionar.
A democracia exige que cada um faça sua parte e o voto nulo não faz.
Tem gente que fala que o voto nulo é um ato de cidadania.
Dizem que é para mostrar a insatisfação com o sistema.
Mas é só uma forma de se esconder da responsabilidade.
Se a gente não escolhe, outro escolhe por nós.
E ai, como as coisa vão mudar?
A população deve se engajar mais e procurar bons candidatos, mesmo que seja difícil achar.
O voto nulo só mostra que a pessoa ta desinformada ou com preguiça de procurar.
Portanto, é claro que o voto nulo não é uma solução eficaz para os problemas do Brasil.
Ele não é um ato político que ajuda de verdade.
Para melhorar a situação, o governo deve investir em educação e as pessoas devem participar mais.
Assim, o país pode ter um futuro melhor para todos.</t>
  </si>
  <si>
    <t>RUIM</t>
  </si>
  <si>
    <t>Quando se fala em eleções  ,          o brasileiro já pensa em um candidato pelo qual tem uma simpatia, pensa na desculpa que irá dar para justificar sua ausência, a  possibilidade do voto nulo ou a indaçação de que não deveria ter a obriçação dos votos  .
O que os cidadões  não sabem é que todo o pensamento que vem nas épocas de eleções  se vão  com o passar dele  , mas a sua escolha não.
O brasileiro  ao invés  de          focar , estudar o passado de um candidato, prefere votar nulo, devido à  outros fatos antigos de que políticos que representavam o povo, passaram a ser políticos que roubaram o povo.
Se não podemos confiar em quem nos representa, é melhor depositarmos nossa confiança em um simples botão branco , ao invés  de se arrepender de ter escolhido um “defensor popular”, que mais tarde venha nos decepicionar  , até porque          nunca candidato algum será o suficiente para nós .
As eleções  estão chegando e cada um faz a sua escolha, mas          lembre-se “cada ação gera um reação”, pode ser ela boa ou nao  .</t>
  </si>
  <si>
    <t>Gemini_Aval_17</t>
  </si>
  <si>
    <t>A segurança é algo muito importante para todo mundo e para a sociedade em geral, isso é uma verdade inegável.
O toque de recolher, que é uma medida que alguns lugares fazem de vez em quando, as vezes pode ser visto como uma forma de proteger os jovens, que são o futuro do nosso país e merecem toda a atenção.
É uma coisa que se discute bastante por ai, e tem seus lados bons e ruins, como tudo na vida.
A questão é complexa e merece uma análise cuidadosa, mesmo que superficialmente.
Muitos jovens, eles ficam na rua até tarde da noite, especialmente nos finais de semana, e isso pode ser perigoso, sabe?
Ai eles podem se envolver com coisas que não são boas, tipo drogas, bebidas alcoólicas ou até mesmo briga com outras pessoas, o que é muito ruim.
O toque de recolher, ele vem pra tentar evitar que isso aconteça de forma recorrente, mantendo os adolescentes em casa, seguro dos perigos que a rua oferece a todo momento.
Isso é bom pra eles, para a saúde deles, e pra família também, que fica mais tranquila sem se preocupar tanto com onde os filhos estão e o que fazem.
É importante que a sociedade funcione bem e que todos se sintam seguros em seus lares e nas ruas.
As cidades tem que ter paz para as pessoas viverem suas rotinas diárias.
Se tem muito barulho ou confusão na rua durante a madrugada, isso atrapalha a vida de quem trabalha no dia seguinte e precisa descansar para render.
O toque de recolher, então, ele ajuda a manter a ordem pública, fazendo com que as ruas fiquem mais calmas e as pessoas possam ter uma vida mais tranquila e sem grandes perturbações, o que beneficia a todos.
Portanto, para concluir, o toque de recolher parece ser uma medida que protege sim, tanto a juventude quanto a sociedade em sua totalidade.
As autoridades competentes devem pensar em colocar isso em mais lugares, expandindo a iniciativa, sempre com o apoio da população local para que funcione.
E os pais, eles tem que fazer a parte deles também, orientando os filhos sobre os perigos e sobre a importância de seguir as regras para que tudo dê certo e a sociedade seja mais segura para todos e para as futuras gerações.</t>
  </si>
  <si>
    <t>O toque de recolher não protege a juventude nem a sociedade.
Embora venha sendo sucessivamente adotado em várias grandes cidades brasileiras, mostra-se como uma medida de eficiência duvidosa que mais esconde que soluciona o problema dos jovens e as noites urbanas do Brasil.
Os primeiros anos do século XXI vêm sendo de dura repressão.
Não mais como aquela da década de sessenta  ,           tempos de ditadura, mas é uma repressão velada, o que é pior .
Fingindo pôr um fim aos problemas de drogas, alcoolismo e violência relacionados especialmente à juventude, governantes adotam essa lei que apenas tira de alguns o seu principal direito: a liberdade.
E tudo isso é feito para tentar esconder a incapacidade das autoridades de resolver essa questão.
É evidente que não é necessária apenas uma esquina escura para o uso de drogas e a prostituição juvenil.
A violência continua a ocorrer em qualquer hora do dia, mesmo nos locais em que o toque de recolher foi imposto.
Assim, os índices de criminalidade entre os menores de dezoito  anos permanecem altos, e as cidades continuam inseguras.
Esse é um problema que precisa ser resolvido, mas de forma mais séria.
O que é necessário é a inserção da segurança nas ruas brasileiras em todos os momentos do dia, além da tomada de medidas que realmente impeçam o consumo de drogas e prostituição dos jovens, sem que seus direitos sejam feridos.
Destas, a principal é a educação.</t>
  </si>
  <si>
    <t>Gemini_Aval_18</t>
  </si>
  <si>
    <t>O uso de bicicletas como meio de transporte vem se tornando um assunto cada vez mais discutido pela sociedade.
Além de ser uma alternativa limpa, ela traz melhorias na mobilidade urbana, ocupa bem menos espaço, e seu uso pode até prevenir doenças no futuro.
Em meio aos congestionamentos do trânsito caótico das grandes cidades, onde  perdemos horas parados, ela surge como uma alternativa bastante considerável.
Em países como a França e a Holanda, onde o uso das bikes no dia a dia já é uma realidade, essa prática já colhe muitos resultados positivos, como a melhor qualidade do ar e a redução da inatividade física, evitando assim a ocorrência de doenças respiratórias, a obesidade  , entre outros males da saúde.
Mas no caso do Brasil, o cenário é bastante diferente.
O número de usuários desse meio alternativo ainda é bastante tímido.
Fato que pode até ser compreendido pelo fato de que nossas estradas não oferecem o conforto necessário para a utilização das bicicletas.
Para resolver esse problema, seriam necessárias a criação de novas ciclofaixas; as vagas para esse tipo de transporte teriam que ser ampliadas; e os terrenos mais planos seriam mais indicados ; tudo isso para tentar proporcionar mais segurança e comodidade aos ciclistas e a todos os outros frequentadores desses locais.
A bicicleta deixaria de ser vista apenas como forma de lazer, e se tornaria uma opção de transporte no nosso cotidiano.
Campanhas de conscientização também seriam necessárias, para instruir os motoristas que decidirem optar por outro meio de transporte, como os carros e as motos, a respeitarem os ciclistas.
Abordar o tema desde cedo com as nossas crianças, poderia desenvolver formas de pensar mais ecológicas e saudáveis, que trariam benefícios a longo prazo.
O estímulo a troca do meio poluidor pelo limpo, também seria um ponto interessante.
Afinal, todos queremos e precisamos manter hábitos que ajudem a melhorar o meio ambiente, para que as gerações futuras possam o fazer uso de forma plena e segura.</t>
  </si>
  <si>
    <t>A urbanização acelerada e a consequente motorização das metrópoles brasileiras têm gerado um complexo cenário de congestionamentos crônicos e degradação ambiental.
Nesse contexto, a bicicleta emerge como uma alternativa promissora, e a expansão das ciclofaixas sinaliza uma mudança paradigmática na mobilidade urbana.
Contudo, essa inserção não se dá sem impasses, pois, embora represente um passo crucial para a sustentabilidade e a otimização do fluxo viário, a plena consolidação desse modal depende da superação de barreiras relacionadas à segurança dos ciclistas e à adequação da infraestrutura.
Desse modo, a permanência e a eficácia das bicicletas e ciclofaixas no cotidiano urbano brasileiro configuram um desafio multifacetado que exige soluções integradas.
Primordialmente, a adoção da bicicleta como meio de transporte responde a demandas prementes por cidades mais habitáveis e sustentáveis.
Historicamente, a Revolução Industrial impulsionou a concepção de cidades centradas no automóvel, gerando externalidades negativas como a poluição atmosférica e sonora, além da notória ineficiência do trânsito.
Em contrapartida, as bicicletas, por serem um modal não poluente e de baixo custo, alinham-se aos princípios da Agenda 2030 da Organização das Nações Unidas, que preconiza o desenvolvimento de cidades e comunidades sustentáveis.
Ademais, ao ocupar significativamente menos espaço viário, contribuem para a desobstrução das vias e para a promoção de um estilo de vida mais ativo, mitigando os efeitos do sedentarismo e impulsionando a saúde pública.
Entretanto, a efetiva consolidação da cultura cicloviária no Brasil esbarra em obstáculos substanciais, notadamente a precariedade da segurança e a resistência cultural.
Em uma sociedade ainda fortemente marcada pela hegemonia do automóvel, a coexistência pacífica entre motoristas e ciclistas é frequentemente comprometida pela falta de respeito e pela infraestrutura inadequada.
A violência no trânsito, infelizmente, é uma realidade que afasta potenciais usuários, conforme a análise de Milton Santos sobre a urbanização desigual, onde a cidadania muitas vezes se manifesta de forma precária no espaço público.
A ausência de uma malha cicloviária contínua e segura, somada à carência de campanhas educativas que promovam a empatia e o compartilhamento das vias, cria um ambiente hostil que desestimula a adesão massiva a esse modal.
Portanto, para que as bicicletas e ciclofaixas transcendam a esfera do lazer e se firmem como componentes essenciais da matriz de transporte brasileira, é imperativo que medidas abrangentes sejam implementadas.
Urge que o Estado, por meio dos órgãos de trânsito e urbanismo, invista massivamente na expansão e manutenção de uma infraestrutura cicloviária segura e interconectada, utilizando recursos do orçamento público e parcerias público-privadas, a fim de garantir a proteção dos ciclistas e incentivar o uso do modal.
Paralelamente, faz-se crucial que o Ministério da Educação, em conjunto com o CONTRAN, promova campanhas de conscientização e educação no trânsito, inserindo o respeito aos ciclistas nos currículos escolares e veiculando informações em mídias de massa, visando fomentar uma cultura de coexistência harmônica e assegurar que o espaço urbano seja equitativamente compartilhado por todos os modais.
Somente assim, o direito à cidade e a mobilidade sustentável serão uma realidade para a população.</t>
  </si>
  <si>
    <t>Gemini_Aval_19</t>
  </si>
  <si>
    <t>Ao longo da história, as mulheres vêm conquistando seu espaço na sociedade.
Apesar disso, esse espaço é limitado porque ainda não se conseguiu quebrar as barreiras do machismo e a forte visão de que as mulheres são mercadorias e objetos de desejo dos homens.
Essas imagens foram cultivadas pela a  mídia que tenta expor ao  sexo feminino o modo de se vestirem, de falarem e até de como se portarem num relacionamento, trazendo a ideia de submissão.
A mensagem transmitida é que tudo é permitido e nada parece estar errado.
Como no conceito de virgindade e a falta de sexualidade mostrada pelas propagandas de cervejas, onde ser virgem é um abismo que separa a mulher das oportunidades da vida social.
Essa noção errônea de independência não mostra a realidade que é quase sempre triste.
Mesmo com o uso da camisinha a mulher corre o risco de ter doenças sexualmente transmissíveis, gravidez precoce que leva ao aborto, abandono de crianças em lares de adoção, aumento da desvalorização da mulher, submissão ao homem, estupro, menor chances dessas jovens entrarem numa faculdade, e principalmente a falta que uma criança terá de uma família.
Como sociedade, é importante os pais estarem presentes na vida dos filhos, principalmente na vida social, dialogarem sobre assuntos importantes como sexo e não deixar que a mídia e o governo faça  esse papel por eles.
Com isso, tem-se um importante passo na história que é o começo da quebra da ideia de que a mulher ainda é vista como um adorno.</t>
  </si>
  <si>
    <t>O leilão da virgindade, um fenômeno amplamente divulgado por reality shows, tem provocado acaloradas discussões sobre os limites da ética e da autonomia individual.
A prática, que envolve a venda da primeira experiência sexual por quantias vultosas, confronta valores morais arraigados com a liberdade de escolha do sujeito.
Diante de tal controvérsia, é fundamental analisar se essa ação é eticamente aceitável ou se representa uma perigosa mercantilização do corpo humano.
De um lado, argumenta-se que a comercialização da virgindade é uma forma de exploração e uma afronta à dignidade humana.
Ao atribuir um preço à primeira relação sexual, a sociedade corre o risco de objetificar o indivíduo, reduzindo-o a um mero produto de consumo.
Essa visão desconsidera a complexidade das relações humanas e os aspectos emocionais envolvidos na sexualidade, transformando um momento íntimo em transação financeira.
Ademais, a exposição midiática de tais eventos pode criar um precedente perigoso, incentivando jovens em situação de vulnerabilidade a recorrer a práticas semelhantes em busca de recursos, desvirtuando o verdadeiro significado da sexualidade e do respeito próprio.
Por outro lado, defensores da prática enfatizam a autonomia individual e o direito de cada um dispor do próprio corpo como bem entender.
A pessoa, sendo maior e responsável por suas decisões não estaria prejudicando ninguém ao leiloar sua virgindade, especialmente se o ato é consensual e as condições são claras.
Argumentam que, se outras formas de trabalho sexual são debatidas sob a ótica da liberdade individual, a venda da virgindade, um evento único, deveria ser vista de forma análoga, como uma escolha pessoal.
Essa perspectiva ressalta a capacidade de autogestão do corpo e a prerrogativa de fazer escolhas que, embora controversas, não infrinja diretamente a liberdade alheia.
Em suma, a questão do leilão da virgindade é multifacetada, oscilando entre a defesa da autonomia e a preocupação com a mercantilização do ser.
Não há uma resposta simples de certo ou errado, pois a discussão envolve valores éticos e sociais profundos.
Para mitigar os impactos negativos e promover uma compreensão mais crítica, é imprescindível que a família e o governo atuem.
À família cabe o papel de fomentar o diálogo aberto sobre sexualidade e valores, enquanto ao governo compete a responsabilidade de regulamentar a mídia para evitar a exploração e garantir a proteção dos direitos individuais, além de promover educação sexual abrangente que empodere os jovens a fazer escolhas conscientes e respeitosas a sí mesmos e aos outros.</t>
  </si>
  <si>
    <t>Gemini_Aval_20</t>
  </si>
  <si>
    <t>O terrorismo é um assunto que assusta muito as pessoas em todo o mundo, e o brasil não pode ficar de fora desta discução importante.
É sabido que o nosso país é muito pacífico, mas com tantos eventos acontecendo, a gente fica pensando se é seguro de verdade.
Com as copas e as olimpíadas chegando, a preocupação aumenta pra todos.
Por exemplo, com a copa das confederações e depois a copa do mundo, muitas pessoas vem pra cá, e isso é perigoso porque pode ter gente ruim no meio que quer fazer atentados, tipo o que aconteceu em Boston.
As autoridades tem que se preparar bastante pra isso, colocando mais policias e fiscalizando tudo, para que não ocorra nada de mal.
A segurança é um ponto chave, não pode deixar passar nada, porque se passar, o estrago é grande e a imagem do brasil fica feia pro mundo.
O governo está investindo e treinando os militares.
Também tem a questão das leis, que precisam ser mais duras para quem faz coisas erradas como o terrorismo, que é muito grave.
Se não tiver lei específica, como que vai prender os terroristas?
É preciso ter uma lei específica, para eles não escaparem da justiça.
Hoje, a legislação é muito fraca para lidar com isso, e isso é uma falha grande.
Materiais perigosos também são fáceis de conseguir.
Então, para concluir, o brasil precisa se organizar melhor, o governo precisa investir mais em tudo, em segurança e em educação, para que o terrorismo não chegue aqui e a gente possa viver em paz.
É importante que todos façam sua parte pra garantir a tranquilidade.
O país precisa estar pronto.</t>
  </si>
  <si>
    <t>Com os preparativos para os grandes eventos que estão perto de acontecer no Brasil, tornou-se inevitável a discussão sobre segurança no país.
Mesmo estando fora da faixa de terrorismo no mundo, o Brasil deve temer uma futura ação terrorista que eventualmente pode acontecer devido ao fato de que o mundo estará com todos os holofotes voltados ao Brasil e para esses eventos.
Além disso, o Brasil não é considerado um modelo no quesito de segurança, pelo contrário, existe uma grande defasagem nas leis que regem o país, o que dificulta os procedimentos a serem tomados no caso de ataques terroristas.
Devido à legislação regente  , o país possui dificuldades até mesmo de proteger-se de pequenos protestos ocorridos por protestantes  locais.
Com a chegada de visitantes de todos os países, a incapacidade de julgamento e punição que as leis Brasileiras  apresentam às autoridades podem  facilitar ataques de terroristas que saibam quão fácil é livrar-se de um julgamento no Brasil.
Portanto, não há razões para desespero, mas também não é possível manter absoluta tranquilidade.
O Brasil precisa investir intensamente em segurança e em treinamento de policiais.
Ainda seria interessante, apenas como prudência, incluir na legislação leis de penalidades para terroristas.
Essas seriam maneiras de evitar que o país futuramente entrasse na faixa de países que sofrem com ataques terroristas, e proporcionaria  maior tranquilidade para visitantes e brasileiros durante os grandes eventos.</t>
  </si>
  <si>
    <t>Gemini_Aval_21</t>
  </si>
  <si>
    <t>A pandemia de HIV/AIDS, que outrora aterrorizou o globo, parece ter transmutado sua imagem na percepção coletiva, perdendo a centralidade do medo que outrora a caracterizava.
Desde os primeiros casos na década de 1980, quando figuras públicas como Cazuza expuseram a face devastadora da doença, a sociedade foi compelida a confrontar tabus e adotar precauções drásticas.
Contudo, o advento de terapias antirretrovirais eficazes e o distanciamento temporal das gerações atuais em relação ao auge da crise sanitária resultaram em uma perigosa diminuição da vigilância.
Essa atenuação do temor, embora reflexo dos progressos científicos, tem gerado uma desmobilização social na prevenção, manifestada pela negligência em práticas seguras, o que, por sua vez, exige uma reavaliação urgente das estratégias de conscientização.
Em primeiro plano, a notável evolução da farmacologia, ao converter a Síndrome da Imunodeficiência Adquirida de sentença de morte em condição crônica controlável, paradoxalmente, enfraqueceu a percepção de seu risco iminente.
A disponibilidade de coquetéis antirretrovirais a partir de meados da década de 1990 propiciou uma melhoria drástica na qualidade e expectativa de vida dos soropositivos.
Essa transformação, que representou um triunfo da ciência médica, pode ser analisada sob a perspectiva do sociólogo Zygmunt Bauman e sua conceituação de "modernidade líquida", onde a fluidez e a constante redefinição das ameaças tornam difícil a fixação de medos coletivos duradouros.
A superação aparente de uma ameaça outrora sólida, como a AIDS incurável, dissolve a urgência na consciência pública.
Consequentemente, a crença na eficácia do tratamento, embora fundamentada, tem fomentado uma falsa sensação de segurança, levando parcelas da população, especialmente os mais jovens, a negligenciarem métodos preventivos primários.
Adicionalmente, a lacuna geracional entre aqueles que vivenciaram a eclosão da epidemia e as novas coortes contribui significativamente para a diminuição do medo da AIDS.
A juventude contemporânea, desprovida da memória direta das dolorosas perdas e do estigma avassalador que acompanharam os primeiros anos da doença, tende a subestimar sua virulência e impacto social.
Este fenômeno pode ser compreendido à luz da teoria do "esquecimento social" ou da "amnésia histórica", onde eventos traumáticos, com o tempo, perdem sua capacidade de gerar alerta e mobilização.
Assim como a Guerra Fria, com o passar das décadas, para muitos jovens, transformou-se em mero registro histórico, a AIDS, para as novas gerações, é uma doença com tratamento, não mais o flagelo letal que ceifou vidas indiscriminadamente.
Tal distanciamento impede a internalização profunda dos riscos, resultando em comportamentos de maior exposição, como a prática de sexo desprotegido, conforme alarmantemente revelam os dados de infecção entre jovens.
Em suma, a diminuição do temor em relação à AIDS, impulsionada por avanços terapêuticos e pela distância temporal, configura um desafio complexo que demanda ações estratégicas.
É imperativo reconhecer que, apesar dos progressos, a doença persiste como uma ameaça real, especialmente face à desmobilização preventiva.
Urge que o Ministério da Saúde, em colaboração com as secretarias estaduais e municipais de educação, e ONGs especializadas, implemente campanhas de conscientização contínuas e renovadas.
Estas campanhas deveriam utilizar plataformas digitais, mídias sociais e programas educacionais nas escolas, com linguagem e formatos adaptados à realidade e ao imaginário juvenil, destacando não apenas a existência de tratamento, mas a importância inegociável da prevenção e do teste regular.
O objetivo seria resgatar a percepção crítica dos riscos, fomentar a responsabilidade individual e coletiva, promovendo a testagem precoce e o uso consistente de preservativos, para que a estabilização da doença não se confunda com sua erradicação e o conhecimento sobre o HIV seja constantemente atualizado e internalizado pela sociedade.</t>
  </si>
  <si>
    <t>"Ideologia", "O tempo não pára  " e "Exagerado" são algumas das músicas que eternizaram o cantor brasileiro Cazuza.
Outros artistas como Renato Russo e Freddie Mercury também são ídolos até hoje.
O que eles possuem em comum?
O fato de terem adquirido a Aids, uma doença viral que atinge 600 mil pessoas no Brasil.
Esta  vem sendo esquecida nos últimos anos devido à mídia, aos próprios jovens e ao governo.
Os meios de comunicação em  massa, em especial a televisão, são responsáveis por esta  situação quando não a abordam de maneira satisfatória.
Percebe-se, nesse caso, o pouco espaço dedicado à discussão do tema, visto que muitas vezes o sexo gratuito, banal e despreocupado recebe destaque em programas, em detrimento da relação segura e respeitosa, com o uso de camisinha.
Além da passividade exercida pela mídia, está claro que os próprios jovens não se preocupam com a possibilidade de adquirirem a patologia.
Com essa concepção , estes não utilizam os preservativos, visto como um falta de confiança para com o parceiro e não realizam os exames que concedem um diagnóstico preciso.
Muitos desses indivíduos possuem as informações necessárias para o entendimento da doença, contudo pensam se tratar de algo distante de sua realidade.
Bem  como a juventude, o governo também tem dado pouca relevância ao assunto, mesmo que alguns programas já estejam em vigor.
Indubitavelmente,          este possui uma grande influência , que deveria ser utilizada para a melhoria das taxas ainda elevadas de aidéticos brasileiros.
Com isso, as despesas relacionadas à saúde diminuiriam e possibilitariam o redirecionamento do capital remanescente a outros setores.
Ganha a sociedade, ganha o Estado.
Portanto, é evidente a negligência e conivência de diversos setores sociais com relação ao combate ao vírus.
Convém ressaltar a importância da união do público e do privado no investimento em novas pesquisas de tratamentos e nas políticas direcionadas à divulgação e orientação de adolescentes nas escolas.
Desse modo, todos seriam poupados da perda de seus ídolos.
Cazuza, Renato Russo e Freddie Mercury que o digam.</t>
  </si>
  <si>
    <t>Gemini_Aval_22</t>
  </si>
  <si>
    <t>Hoje, devido à facilidade de se comunicar através das redes sociais, jovens do país inteiro e do mundo têm deflagrado uma troca de ideias que resultam em manifestações politizadas a favor do bem comum e coletivo.
As manifestações contra atos políticos ilícitos e até mesmo de situações provocadas pelo desenvolvimento agroindustrial agressivos  ao meio de vida e saúde  têm sido discutidas virtualmente.
Não podendo  descartar que partidos e sindicatos ainda são a estrutura de quaisquer discussões.
É a partir desses blocos politizadores que as decisões do mundo social são tomadas.
Todavia nota-se que os mesmos precisam desenvolver mecanismos de articulações com os novos meios, ou seja, as redes sociais.
Assim, as manifestações não correrão o risco de ficarem apenas no meio virtual, uma vez que para se concretizarem dependem dos sindicatos e partidos.
A última manifestação que testemunhamos foi a marcha contra a corrupção que reuniu cerca de 20 mil pessoas apenas em Brasília e foi concebida via internet.
O jovem tem usado o meio virtual para protestos e manifestações partindo do pressuposto de que o amigo passará a informação para o outro amigo, que será repassada para o amigo do amigo e assim sucessivamente.</t>
  </si>
  <si>
    <t>Hodi em dia, a juventude do Brasil tem se mobilizado muito.
É um fenômeno que a gente vê bastante, em varios lugares, por todo o país, e é importante falar sobre isso para entender o que está acontecendo.
As causas são muitas e variadas, e os jovens estão sempre querendo mudar as coisa, o que é bom, mas também é complicado de se lidar.
A sociedade muda e os jovem mudam junto, então é natural que eles se mexão e busquem seus próprios caminhos.
A educação no Brasil não é das melhoris e isso pode ser um fator tambem para que eles se mobilizem, pois a escola é um lugar de encontro e discussão de ideias.
Muitas vezes, eles não se sentem representados pelas instituições e buscam a própria voz de forma mais ativa na sociedade.
Uma das razões principal para a mobilização dos jovens é a internet, sem dúvida.
Sim, a internet facilita muito a comunicação entre eles, de um jeito que antes não era possível.
Eles usam o celular para tudo, para falar um com o outro e para marcar encontros e organizar eventos.
Isso faz com que eles se juntem mais facio e rápido do que antes, quando as coisas demoravam mais.
Antes não era assim, era mais dificil organizar um protesto ou manifestação sem a tecnologia de hoje em dia.
Então, a tecnologia é um ponto chave que faz os jovens se organizar hoje, e eles gostam de jogos online e essas coisas que os conectam em grupos.
Além disso, os problemas socias também incentivam os jovens a ir para a rua e se manifestarem.
Tem muita injustiça e desigualdade no país, tipo a falta de emprego para a maioria, e a violência.
As pessoas não tem o que comer as vezes, e a escola pública não é boa, com pouca estrutura.
Então, eles se importam com isso e querem fazer a diferênça no seu entorno.
Eles protestam por um futuro melhor e mais justo, porque eles são o futuro da nação e querem um Brasil melhor.
É o que a gente vê acontecer em reportagens e jornais todos os dias, e é algo que merece atenção.
É tudo muito importante para o desenvolvimento do Brasil, para que ele avance.
Para resolver essa situação, é preciso que as autoridade façam alguma coisa de concreto.
O govêrno deve ouvir os jovens e dar mais atenção às suas demandas, tipo melhorar as escolas e criar mais empregos.
É importante ter mais dialogo e programas que ajude a juventude a ter mais oportunidade na vida, como cursos profissionalizantes e acesso à cultura.
Assim, eles vão ter mais oportunidade e não precisarão se mobilizar tanto nas ruas, já que suas vozes seriam ouvidas e suas necessidades atendidas.
É uma solução para o problema que acontece na nossa sociedade, e as empresas tambem podem ajudar com patrocinios e vagas de estágio para esses jovens.</t>
  </si>
  <si>
    <t>Gemini_Aval_23</t>
  </si>
  <si>
    <t>O Supremo Tribunal Federal, uma corte muito importante, decidiu recentemente sobre um assunto que gera muita discussão na sociedade brasileira.
A legalização do aborto de fetos que tem anencefalia foi o ponto principal dessa decisão.
Esse tema é bastante polêmico, pois envolve a vida e o direito de escolha das pessoas.
Muitas pessoas acham que o STF agiu certo porque é muito difícil para as mães descobrirem que o bebê não vai sobreviver.
A anencefalia é uma condição grave onde o cérebro não se desenvolve bem.
Essas crianças vivem pouco tempo, as vezes só algumas horas.
É um sofrimento grande pra familia toda, e a mulher passa por um trauma que não é fácil.
Por outro lado, tem uma parte da população que não concorda com essa decisão, porque elas acreditam que toda vida é importante.
Para essas pessoas, mesmo um feto anencéfalo é uma vida que merece proteção.
A religião muitas vezes influencia essa visão, ensinando que o aborto é sempre errado.
Eles falam que abrir essa exceção pode ser um perigoso precedente para outras situações.
Então, é um tema bem complexo que mostra a divisão de opiniões no Brasil.
A decisão do STF tenta equilibrar a dor das mães com os princípios da vida.
É preciso que a sociedade converse mais sobre isso, respeitando os diferentes pontos de vista, para que todos possam entender melhor a questão e as suas implicações.</t>
  </si>
  <si>
    <t>A aprovação do Supremo Tribunal Federal sobre a questão do aborto de  anencéfalos,  foi correta.
Mesmo  que isso contrarie crenças e opiniões dos mais conservadores.
Claro,  que isso trás  polêmica, de  que o anencéfalo seja uma vida, a qual deve ser respeitada e tratada como todas as outras.
Porém realmente, sabe-se que não há salvação desse e que a mãe corre perigo de vida, além do emocional também atingido.
No Brasil, por ter uma alta taxa de gestações de anencéfalos, casos como esses são decorrentes na  justiça para que possa haver a autorização do aborto, muitas vezes com o intuito de salvar a vida da mãe então daí vem à  ideia da criação da lei, poupando tempo do poder judiciário sobre esse assunto.
Porém médicos conservadores entram em desacordo pelo fato destes  não concordarem em aceitar fazê-lo por que  creem que           ?seja uma vida como outra e tem o direito de tratamento comum?.
Então, entra-se na ideia da religião.
Essa que opina  muitas questões do Estado, mesmo que o país seja  laico.
Mas ela faz com que a população pressione o governo de alguma forma (em eleições, geralmente) assim usando da ignorância do povo para impor suas crenças a todo o resto.
Por isso esse caso do aborto está sendo tão contrariada  por várias entidades religiosas e protestos ocorreram pouco tempo antes da aprovação da lei.
Portanto, vê-se que mesmo com as crenças e a população pressionando por uma decisão diferente, o STF decidiu pelo correto.
A polêmica continuará, obviamente.
Mas vidas serão salvas e o sofrimento (físico e psicológico) de uma mulher será poupado.</t>
  </si>
  <si>
    <t>Gemini_Aval_24</t>
  </si>
  <si>
    <t>Advogados, médicos, dentistas, artistas, engenheiros, nutricionistas, etc .
Enfim, são inúmeras as profissões existentes.
A princípio, estas profissões não estabelecem nenhuma relação, mas uma análise detalhada mostra a existência de um objetivo comum entre todas: o sucesso profissional.
São várias as condições para atingir o sucesso profissional, porém quais delas devem ser priorizadas?
Muitos acham que trabalhar tem a ver com escravidão.
É comum ouvir: "Eu me mato de trabalhar.
Sou um escravo." Ao mesmo tempo que alimentam essa idéia, essas pessoas adotam a postura de escravo.
Ou seja, trabalho é algo obrigatório.
Surge, então, a resistência de não querer ser escravo, não querer sofrer.
Elas se forçam a trabalhar ao mesmo tempo que sofrem uma pressão para não ir.
Essas forças contrárias são pavorosas para a prosperidade profissional dessas pessoas.
Elas já vão para o serviço sofrendo.
Até podem gostar do que fazem, mas vivem aguardando o final do expediente.
Isso atrasa o desenvolvimento profissional.
Quanto mais enxerga-se o trabalho de maneira negativa e pejorativa, maior será a resistência criada.
E, quanto mais houver resistência, menor será o sucesso na profissão.
Não só sucesso no sentido de conquista, dinheiro, oportunidades e crescimento social, como também da satisfação interior e da realização espiritual.
Ademais, o mercado de trabalho cresce exageradamente, e torna-se extremamente competitivo.
É grande a quantidade de indivíduos despreparados, uma realidade que é mostrada e satirizada por uma charge denominada "Muita Injustiça".
Assim, a junção do mercado de trabalho competitivo com a falta de preparo dos indivíduos torna o mercado de trabalho inacessível para muitos.
Sucesso profissional?
Como alcançá-lo se ao menos, o trabalhador tem uma ocupação digna?
O correto é encarar o trabalho como prazer ou como o meio de satisfazer nossas realizações.
É o que acontecesse com a maioria dos artistas, muito além de recompensa financeira, estes fazem arte por amor e satisfação individual.
É um trabalho criterioso e danoso, os quais custam muita dedicação por parte dos artistas.
Amor e dedicação que deveriam ser copiados pela população.
Assim, seria mais fácil encontrar pessoas bem sucedidas profissionalmente.</t>
  </si>
  <si>
    <t>Atingir o sucesoo profisional é uma coisa que todo mundo quer, mas nem todo mundo consegue e isso é muito triste.
A sociedade de hoje em dia exige muito da gente, e por isso é importante pensar bem no que fazer pra ter um futuro bom e feliz, porque a vida é assim mesmo.
Para ter sucesso na carreira, as pessoas tem que se esforçar muito.
É preciso estudar sempre e também trabalhar bastante.
Quem não faz isso, não chega a lugar nenhum, e fica pra trás.
As vezes, a sorte ajuda, mas na maioria das vezes é só trabalho duro que faz a diferença na vida das pessoas que querem ser alguem importante.
Também é muito importante ter uma boa formação.
A escola e a faculdade são importantes, mas não é só isso.
Precisa de ter qualificação e experiência pra conseguir um bom emprego, porque o mercado está muito difícil.
Tem que aprender coisas novas o tempo todo, mas as vezes falta oportunidade pra todo mundo, e isso é um problema do governo.
Em conclusão, para alcançar o sucesso profisional, é preciso de muito esforço e estudo.
O governo e a sociedade deviam ajudar mais as pessoas.
É importante que todos tenham chance de estudar e trabalhar pra ter uma vida melhor e mais digna.
Assim, o país vai pra frente e todo mundo fica feliz.</t>
  </si>
  <si>
    <t>Gemini_Aval_25</t>
  </si>
  <si>
    <t>Cerca de 76,4% dos brasileiros tendem a se automedicar  .
Prática essa  nada saudável já que pode levar a pessoa a se intoxicar  ou até mesmo à morte.
Mas a culpa acaba sendo do próprio sistema de saúde , que acaba conduzindo as pessoas a procurar pelo medicamento e não pelo médico  ao divulgar na  propagandas          a seguinte orientação: “se persistirem os sintomas os  médico deverá ser consultado”.
O Ministério da Saúde deve procurar conscientizar a população de que antes de ingerir um remédio é necessário consultar o médico.
É bom deixar claro também que estamos falando sobre o uso por conta própria de remédio com tarja vermelha ou preta na caixa .
Pois nos casos de uma simples dor de cabeça ou de dente, de cólicas mestruais  , por exemplo, a automedicação é considerada “automedicação responsável”; e automedicação responsável é econômica e o sistema de saúde agradece.
É importante conscientizar as pessoas a procurarem a se  informar antes de consumir o medicamento.</t>
  </si>
  <si>
    <t>A automedicação, um fenômeno de saúde pública de ampla recorrência no Brasil, assume contornos particularmente preocupantes quando observada entre a juventude.
A despeito dos riscos inerentes à prática, que vão desde reações adversas até o mascaramento de condições graves, observa-se uma adesão expressiva por parte dos jovens a essa conduta.
Nesse contexto, a elevada incidência de automedicação nessa faixa etária não se configura meramente como um ato de negligência individual, mas sim como o reflexo de uma lacuna significativa na educação em saúde e da profunda influência de uma cultura pautada pelo imediatismo.
Tais fatores, interligados, perpetuam um ciclo de desinformação e de busca por soluções rápidas, com potenciais desdobramentos deletérios à saúde coletiva e individual.
Em primeira análise, a deficiência na educação sanitária formal e no acesso a informações qualificadas sobre o uso de medicamentos emerge como um catalisador central da automedicação juvenil.
Historicamente, a abordagem pedagógica sobre saúde frequentemente negligencia a complexidade farmacológica, falhando em munir os estudantes com o discernimento necessário para avaliar os perigos da ingestão de fármacos sem orientação.
Conforme os preceitos do sociólogo Pierre Bourdieu, a carência de "capital cultural" específico na área da saúde impede que os indivíduos decodifiquem criticamente as mensagens e os riscos associados aos medicamentos, tornando-os mais suscetíveis a conselhos informais ou à autodiagnose.
A ausência de um letramento em saúde adequado, portanto, pavimenta o caminho para escolhas imprudentes.
Ademais, a cultura do imediatismo, intensificada pela onipresença das tecnologias digitais e das redes sociais, corrobora para a normalização da automedicação entre os jovens.
Em uma sociedade que valoriza a celeridade e a resolução instantânea de problemas, a busca por alívio rápido de sintomas, sem a demora de uma consulta médica, torna-se uma alternativa sedutora.
O sociólogo Zygmunt Bauman, em sua análise da "modernidade líquida", descreve um cenário onde as relações e as soluções são efêmeras e descartáveis, o que se estende à percepção da saúde: a cura instantânea é preferível ao processo de diagnóstico e tratamento.
Nesse ambiente, a disseminação de "dicas" e "curas milagrosas" em plataformas digitais, desprovidas de base científica, reforça a ideia equivocada de que o autotratamento é uma via eficaz e segura.
Urge, portanto, que o Estado, em colaboração com entidades de saúde e educação, promova ações eficazes para mitigar a problemática da automedicação juvenil.
Para tanto, o Ministério da Saúde, em parceria com o Ministério da Educação e com o apoio de plataformas digitais, deve implementar campanhas educativas amplas e programas de conscientização.
Tais iniciativas deverão utilizar as mídias sociais, os currículos escolares e as unidades básicas de saúde como canais para disseminar informações qualificadas sobre os riscos da automedicação e a importância da consulta profissional.
O objetivo é capacitar os jovens a tomar decisões informadas e responsáveis sobre sua saúde, abordando explicitamente os perigos da interação medicamentosa, dos efeitos colaterais e da dosagem inadequada, além de valorizar o papel insubstituível do médico e do farmacêutico na orientação terapêutica.</t>
  </si>
  <si>
    <t>Gemini_Aval_26</t>
  </si>
  <si>
    <t>A crescente longevidade da população brasileira tem se tornado um tema central nas discussões sobre bem-estar social, levantando a questão se os idosos são valorizados, desvalorizados ou privilegiados em nossa sociedade.
Embora o Estatuto do Idoso seja um marco legal importante, sua existência por si só já sugere uma falha na cultura de respeito intrínseco.
Essa complexidade revela um cenário onde, apesar de garantias legais e alguns benefícios sociais, muitos enfrentam desafios significativos, enquanto outros segmentos da sociedade percebem uma distribuição desigual de vantagens.
De um lado, a desvalorização se manifesta na fragilidade social e econômica que atinge muitos idosos.
Aposentadorias minguadas a ausência de assistência médica adequada e o abandono familiar são realidades cruéis para uma parcela considerável.
Essa dependência, muitas vezes, leva à perda de autonomia e ao esfriamento de vínculos afetivos, expondo a falha da família e da comunidade em assegurar os direitos básicos previstos em lei.
A necessidade de um aparato legal robusto para garantir dignidade para a terceira idade é, paradoxalmente, um sintoma da negligência persistente.
Por outro lado, não é raro que a terceira idade seja vista por alguns como uma fase de privilégios excessivos.
Benefícios como meias-entradas, filas preferenciais e condições especiais de empréstimo, embora essenciais para muitos, geram um certo ressentimento entre os mais jovens.
A percepção de que pessoas "nem tem 60 anos" usufruem dessas vantagens, enquanto a população adulta em idade produtiva enfrenta suas próprias dificuldades, cria um debate sobre a equidade na distribuição desses direitos.
Essa visão, embora simplista, reflete a tensão entre o amparo necessário e a frustração de outros grupos sociais.
Diante desse panorama multifacetado, é imperativo que o Brasil reavalie a condição do idoso.
Para isso, o governo deve fortalecer a fiscalização e a aplicação do Estatuto do Idoso, garantindo que os direitos não permaneçam apenas no papel, mas se concretizem em políticas públicas eficazes, especialmente nas áreas de saúde e segurança financeira.
A sociedade, por sua vez, precisa cultivar uma cultura de respeito e valorização, compreendendo que o envelhecimento é um processo natural e que a experiência dos mais velhos é um ativo social, não um fardo ou um privilégio indevido.
Somente assim se poderá construir um futuro mais justo e solidário para todas as gerações.</t>
  </si>
  <si>
    <t>Atualmente, os idosos são desvalorizados, pois nessa fase se tornam alvo de diversas situações lastimáveis, como o desrespeito pela parte jovem da população, que os consideram  geração ultrapassada.
Tudo isso devido a  fragilidade do idoso de se impor na sociedade.
Primeiramente , o preconceito é o precursor  de todas as atitudes deploráveis que uma pessoa idosa sofre.
Preconceito do qual, a parte alienada da sociedade incorpora, tratando as pessoas mais velhas como inválidas.
Este  pensamento descriminatório  , atrelado  a um estatuto não rígido , faz com que vejamos cada vez mais notícias como; assalto a idosos, negligências médicas e até o abandono por parte de familiares.
Mais  os idosos não são constantemente privilegiados?
Os benefícios que são oferecidos a uma pessoa de terceira idade, nada mais são, do que uma retribuição, de tudo o que o idoso fez pelo seu país, no período que exerceu as mais intensas atividades.
É claro que sempre há quem tire vantagem, que são as pessoas com idades avançadas que buscam tirar proveito sem necessidade.
Chamamos isso de "Jeitinho Brasileiro"  , mas  que na verdade, não passa de uma falta de caráter e ética.
Portanto, os idosos são os membros mais importantes de nossa família, pois retratam nossa origem.
E cabe a nós da geração atual, assegurar e oferecer um fim de vida digno a eles, que tanto batalharam por sua vida até chegar a velhice.</t>
  </si>
  <si>
    <t>Gemini_Aval_27</t>
  </si>
  <si>
    <t>A juventude de hoje em dia, ela é muito complicada e tem muitos problemas na sociedade.
É por isso que o toque de recolher, ele é uma medida que as autoridades pensam pra proteger os jovens.
Essa ideia, ela é importante pra gente pensar se realmente funciona pra todo mundo e se é bom.
As ruas são lugares perigosos, cheios de coisa ruim tipo trafico de drogas e pessoas mal-intencionadas.
Então, o toque de recolher pode ajudar a tirar as crianças e os adolescentes desses perigos, mantendo eles em casa depois de um certo horário.
Assim, eles não vão se envolver em coisas erradas e ficam mais seguros.
É tipo um limite que tem que ter.
Mais tem gente que não concorda com isso, porque fala que a liberdade dos jovens, ela é importante.
Eles tem que poder ir e vir, estudar e se divertir.
Mais a segurança vem primeiro, né?
Então, mesmo que seja chato, é pra proteger.
Não pode deixar a juventude solta por aí sem nenhum controle, porque depois dá problema pra sociedade inteira.
Pra finalizar, o toque de recolher é uma medida que tenta ajudar.
É bom que o governo e os pais pensem em como proteger os jovens.
Talvez com mais educação e atividades boas, os jovens não precisariam de toque de recolher.
É preciso fazer algo pra melhorar a situação.</t>
  </si>
  <si>
    <t>Juízes, em resposta à onda de violência, decretaram o toque de recolher em cidades do interior paulista e no Paraná.
A lei demonstra a incapacidade dos municípios em garantir segurança.
O direito de ir e vir, garantidos pela constituição , é claramente violado com essa medida [;] além disso, é o poder legislativo e não o judiciário que deve decretar leis.
Outro aspecto importante é o fato de muitos pais concordarem com tal medida, alegando que não conseguem manter a ordem.
Este não é um problema do municipio , é da família,             na estrutura dela,             na incapacidade de educar.
Por esse motivo , adolescentes que sabem viver em sociedade e se comportam adequadamente               , serão punidos, impedidos de sair, ver seus amigos, relaxar depois de uma semana inteira de estudos.
O toque de recolher é uma medida desesperada de tentar conter a violência, mas a causa desta que a precária situação de ensino no país não                 é resolvida.
Investimentos e projetos para a educação certamente resolveriam o problema, sem a necessidade de ferir o direito de ir e vir .</t>
  </si>
  <si>
    <t>Gemini_Aval_28</t>
  </si>
  <si>
    <t>O novo acordo ortográfico, que agora esta em vigor, tem causado muita duvida nas pessoas.
É um assunto que mudo como a gente escreve e isso não é fácil de se acostumar, principalmente pra quem já estava habituado com as regras antigas.
Muitos ainda não sabe bem o que mudou e porque essas mudanças foram feitas.
Acredito que essa iniciativa, embora com boa intenção, trouxe mais confusão do que clareza para a língua portuguesa.
Pra mim, o maior problema é ter que aprender tudo de novo e mudar hábitos de escrita.
Palavras que antes tinha acento, agora não tem mais, como "ideia" e "jiboia", e isso faz a gente errar.
E o trema, que sumiu de quase todas as palavras, as vezes a gente esquece e escreve errado, tipo "linguiça" com ou sem.
Os professores tem que se virar pra ensinar as regras nova para os alunos, e isso é um desafio grande, porque eles mesmo as vezes tem duvidas.
A gente fica perdido com tanta mudança e as vezes nem sabe se esta certo ou errado, resultando em muita insegurança na hora de escrever.
Apesar de toda essa dificuldade, alguns fala que esse acordo é bom pra unir a língua portuguesa entre os países que a falam, facilitando o intercâmbio cultural.
Mas para a maioria das pessoas, parece que não faz tanta diferença no dia a dia, pois o impacto é pequeno para quem não trabalha diretamente com a escrita.
Afinal, as mudanças são poucas, tipo só 0,5% das palavras, mas mesmo assim, da trabalho pra quem usa muito a escrita, como jornalista, redatores e estudantes, que precisam decorar as novas normas.
Essa é uma das razões porque muitos acham o acordo inútil.
Então, pensando bem, o novo acordo ortográfico é uma coisa que gera muita confusão e dificuldade para quem precisa usar a norma culta.
Embora a intenção seja boa de unificar a língua, na pratica, é complicado se adaptar e muitas pessoas não veem um benefício claro.
Tomara que um dia todo mundo consiga escrever certo sem tanto esforço e que as regras se tornem mais intuitivas para todos.</t>
  </si>
  <si>
    <t>O novo acordo  ortográfico , que passou a vigorar em Janeiro deste ano, gera discussões nos vários países falantes da Língua  Portuguesa , e traz, ao mesmo tempo, benefícios e complicações para o cotidiano de lusófonos.
A ideia de união, vista positivamente, é oposta à estranheza causada pelas mudanças.
No mundo globalizado vivido hoje, visando uma maior proximidade e facilidade de relacionamento entre os países que seguem a Língua  Portuguesa , o acordo  ortográfico , que prevê modificações como a não utilização do trema, parece ser favorável e trazer benefícios, permitindo uma maior proximidade na fala, beneficiando a comunicação.
A unificação das grafias também permite que a língua cresça, facilitando o ensinamento e a compreensão em qualquer país.
Por outro lado, as modificações causaram indignação, pelo fato de serem um pouco radicais, ao, por exemplo, tirarem o acento agudo de ditongo aberto em palavra paroxítona, o que aparentemente modifica sua pronúncia.
Também é evidente a dificuldade encontrada ao se adaptar às regras, que modificam 0,5% de nossas palavras, gerando ainda mais dúvidas em uma língua já complexa.
Restam as dúvidas, não só na hora de escrever, mas ao questionarmos sobre a necessidade ou não do novo acordo ortográfico.
Seria esse um erro?
A resposta virá a partir de 2012, quando o país precisará estar adequado às novas regras, e quando veremos se a mudança foi importante para uma unificação ou foi apenas mais uma forma de se perder pontos em concursos e modificar nossos costumes.</t>
  </si>
  <si>
    <t>Gemini_Aval_29</t>
  </si>
  <si>
    <t>Em uma situação hipotética, colocamos uma vara ao meio de dois extremos, onde o lado esquerdo representa pessoas com pele branca, e no  lado direito, pessoas com a pele negra.
Na história, a proposta democrática que engloba direitos iguais é recente, e  durante séculos,          a vara era voltada para a cor branca .
Com isso  , como algo curvado tanto tempo pode ficar          ao meio sem pender para o lado esquerdo?
A escravidão do afrodescendente envolve muitos fatores como lucro, a comodidade , a crença de que o negro não é um ser humano, pois tinham culturas distintas, e durante muito tempo, o abuso físico, e psicológico e comum.
Quando houve a abolição da escravidão no Brasil, os locais de trabalho dos negros foram ocupados por estrangeiros, como italianos.
Uma alternativa do Estado para o branqueamento da população, e  um pesar para os afrodescendentes, que agora eram livres, mas sem emprego, moradia, estudo, etc.
Hoje continua essa situação de branqueamento : em ações policiais, nos quesitos para emprego que exige  boa aparência,          ao similar cor da pele á criminalidade , ou até mesmo, em  campos de futebol, como ocorreu recentemente onde  torcedor          adversário do Brasil lançou uma banana para o  jogador, chamando-o indiretamente de macaco.
Nesse sentido, o preconceito atual é herdado e ensinado desde criança que há uma cor e isso faz diferença.
No entanto, se colocarmos direitos diferenciados para o negro como o sistema de cotas para universidades, por exemplo, é uma alternativa de endireitar essa vara.
Deixar dessa forma durante algum tempo talvez iguale a curvatura.
Só assim, ela realmente ficará ao meio , e perderá a herança ideológica .</t>
  </si>
  <si>
    <t>O racismo é um problema grave que existe no nosso país e no mundo, e ele afeta a vida de muitas pessoas de um jeito bem ruim.
É uma coisa que não devia mais existir, mas infelizmente ainda acontece bastante.
Precisamos pensar em como acabar com isso de uma vez por todas.
A gente vê na televisão e nos jornais que tem muitos casos de racismo, tipo quando um jogador de futebol foi ofendido por causa da cor dele.
Isso mostra que o preconceito ainda está muito presente na sociedade, e as pessoas não respeitam as outras.
É como se ainda estivesse nos tempos antigos, da escravidão, o que é um absurdo nos dias de hoje.
É muito difícil combater o racismo porque ele está na mente das pessoas e é uma coisa que vem de muito tempo.
As opiniões erradas sobre os outros faz com que o preconceito continue.
E também tem o problema da falta de educação, porque se as pessoas aprendesse mais na escola sobre respeitar todo mundo, talvez o racismo não fosse tão grande.
Portanto, para virar essa página triste da história, é importante que todos se ajudem.
O governo devia criar mais leis e as escolas ensinar que racismo é feio.
Assim, a gente consegue fazer um mundo sem racismo, onde todo mundo possa viver em paz e feliz, sem preconceito. É uma luta de todos e pra todos.</t>
  </si>
  <si>
    <t>Gemini_Aval_30</t>
  </si>
  <si>
    <t>Sediar eventos de grande porte em qualquer país que seja, requer  um investimento alto em segurança, para que desta  forma,          situações de terrorismo sejam inibidas.
A mídia especula diariamente se o Brasil está realmente preparado para previnir eventuais ações de terror como aconteceu em Boston, onde          lançou-se uma bomba em meio a uma maratona.
O governo brasileiro aplicou cerca de dois bilhões de reais em ações policiais para receber a Copa das Confederações e a Jornada Mundial da Juventude, como eventos teste para realizar ações contraterrorismo, caso venha a ocorrer.
Tendo em vista que estes  eventos internacionais estão perto de acontecer, o Brasil se arma a fim de que tenha  um bom desempenho, principalmente na segurança, pois eventos como este, atrai  milhares de pessoas de diversas nações , e com isto deve-se atentar os olhos  para os riscos de uma possível violência.
Então espera-se que o policiamento seja eficaz e traga excelentes resultados para que o país esteja apto a sediar a Copa.
Por essa razão, para que não seja grande o número de boletim de ocorrências  em delegacias, o governo apostou no alto investimento a segurança, com policiais com treinamentos diversos, afim  de proteger a sociedade contra possíveis ataques.</t>
  </si>
  <si>
    <t>Terrorismo é um problema mundial muito grave, de verdade, que afeta muitas nações, e a gente vê na televisão que isso acontece muito em lugares como os EUA, causando muito sofrimento e uma grande destruição para as pessoas.
O Brasil, que sempre foi um país de paz e alegria, sem esses tipos de problemas tão sérios, agora está recebendo muitos eventos grandes, tipo a Copa das Confederações, a Copa do Mundo em 2014 e também as Olimpíadas em 2016, e isso faz as pessoas se perguntarem, com razão, se a gente tem motivos para ter medo também, se o terrorismo pode chegar aqui e atrapalhar tudo.
É um fato que o Brasil nunca teve histórico de atos terroristas em seu próprio território, o que é bom, mas com esses eventos internacionais tão importantes, o país fica muito visível para o mundo todo, e isso é um prato cheio para quem quer chamar atenção de um jeito ruim.
A segurança pública é uma coisa muito, muito importante, essencial mesmo, mas parece que as autoridades ainda não sabem direito o que fazer para proteger a população e os muitos visitantes que virão.
A lei brasileira, ela é muito antiga e não ajuda muito porque não fala sobre terrorismo de forma clara, o que é um grande problema e deixa a gente desprotegido, sem saber como agir em uma situação dessas tão complicadas.
Também tem a questão dos materiais perigosos que podem ser usados para fazer ataques e causar estragos.
Dizem que muitos explosivos, tipo dinamite e outras coisas que explodem, sumiram de pedreiras e obras por aí pelo Brasil, e isso é um perigo que tá aqui dentro do país mesmo, sem precisar vir de fora, o que é ainda mais preocupante.
Se tem esses materiais perigosos por aí, as pessoas ruins que querem fazer o mal podem pegar e usar eles, e aí a gente não sabe o que pode acontecer, pode ser uma tragédia horrível para todos.
Precisa de mais controle sobre esses materiais para evitar que essas coisas aconteçam de verdade, para a segurança de todos os cidadãos brasileiros.
Então, sim, o Brasil tem sim muitas razões pra temer o terrorismo, por causa dos grandes eventos que vão vir e da falta de preparo em vários aspectos que já falamos.
O governo deveria investir mais em segurança, contratar mais gente e melhorar o treinamento das forças de segurança, e fazer umas leis novas e específicas sobre o terrorismo, para que a população possa ficar mais tranquila e não ter que se preocupar com essas coisas ruins que a gente vê em outros países.
É preciso agir logo, de forma rápida e eficiente, para garantir a paz.</t>
  </si>
  <si>
    <t>Gemini_Aval_31</t>
  </si>
  <si>
    <t>O Brasil todo, atraves da midia  , pode presenciar um contronto  de opiniões sobre o direito de autores para a públicação de  biografias não autorizada  .
De um lado o biografado  que não quer que sua vida particular seja exposta ao público,  de outro lado os biografos  que alegam que não é preciso autorização para a criação de biografias, uma vez que é um direito de expressão e informação.
Fica claro a para nós, que estamos nos bastidos  , o quanto é descabido impor uma lei que permita uma publicação não autorizada pelos biografados.
Seria uma agressão a costituição,artigo 20 , .
Um desrespeito a  privacidade do indivíduo.
Um extremo mal gosto em levantar fatos das  quais pessoas não querem lembrar, reviver.
Uma agressão aos familiares que por ventura  tiverem que conviver com fatos passados de pais, irmãos, filhos, etc .
Podemos perguntar a esses indivíduos que estão puramente movidos a ganhar dinheiro,  “Imagine se seus pais, irmãos ou até filhos tiverem que conviver todos os dias com um livro acusando familiares queridos por tempo indeterminado, ”   Ha  quem diga ah e o motivo informar o mundo sobre a história do seu povo, eu posso argumentar o seguinte: de quem estamos falando?
De um politico  famoso?
De um idolo  que mudou a história?
De uma pessoa relevante a  história do país?
Pois bem, se estamos falando de tais pessoas, então que estas  biografias sejam feitas postumas  , para preservar seus familiares.
Ha quem diga: “e nós cidadãos temos que ficar alheios aos acontecimentos dos nossos politicos  , artistas, cantores favoritos?
Quem sabe criando uma imagem diferente da realidade dele  ?”          Posso garantir que para sermos informados de algum fato relevante sobre essas pessoas podemos contar com os jornais e revistas que faz este  trabalho com tanta eficiencia e exaustão  .</t>
  </si>
  <si>
    <t>A controvérsia em torno da publicação de biografias não autorizadas tem polarizado o debate público brasileiro, confrontando o direito à liberdade de expressão e à informação com a prerrogativa individual à privacidade e à honra.
Essa dicotomia, intensificada pela atuação de grupos de artistas e associações de editores, revela a complexidade intrínseca à conciliação de direitos fundamentais na sociedade contemporânea.
Nesse cenário, argumenta-se que a liberdade biográfica é essencial para a construção do conhecimento histórico e cultural, embora deva ser exercida com responsabilidade, evitando a instrumentalização da vida alheia para fins meramente comerciais.
Primordialmente, a autonomia do biógrafo e a inexistência de uma autorização prévia são pilares para a credibilidade e a fidedignidade de uma obra historiográfica.
Conforme preceitua o pensamento iluminista, a liberdade de expressão, defendida por pensadores como Voltaire, é um esteio para a busca da verdade e o avanço do conhecimento, sendo a censura um entrave ao desenvolvimento social e intelectual.
Nesse sentido, exigir a chancela do biografado para a publicação de sua trajetória equivale a permitir a construção de narrativas idealizadas ou auto-censuradas, distorcendo a memória coletiva e privando a sociedade de análises críticas e multifacetadas, essenciais para a compreensão de figuras públicas e seus legados.
Contudo, a defesa irrestrita da liberdade biográfica não pode negligenciar os direitos inerentes à personalidade, como a intimidade e a honra.
A Constituição Federal de 1988, em seu artigo 5º, inciso X, assegura a inviolabilidade da vida privada, da imagem e da honra, estabelecendo limites para a exposição pública.
A mercantilização da vida alheia, sobretudo quando desprovida de relevância pública ou pautada por sensacionalismo, configura um abuso que merece coibição.
É fundamental, portanto, que a produção biográfica se paute pela ética jornalística e historiográfica, distinguindo o que é de interesse público do que pertence estritamente à esfera privada, sem que a ausência de autorização prévia seja, por si só, um impeditivo legal.
Diante do exposto, é imperativo que o Supremo Tribunal Federal (STF), em sua função de guardião da Constituição, estabeleça diretrizes claras que harmonizem os direitos em conflito.
Para tanto, o STF deve, por meio de um parecer vinculante, reinterpretar os artigos 20 e 21 do Código Civil, de modo a assegurar a liberdade de pesquisa e publicação biográfica.
Tal medida deve priorizar a relevância pública da informação e a boa-fé do biógrafo, permitindo que a produção de biografias não autorizadas floresça como ferramenta de registro histórico e análise social.
Consequentemente, promover-se-á uma cultura de responsabilidade informativa, inibindo o sensacionalismo e garantindo a reparação por eventuais danos à honra ou à intimidade, sem que isso configure censura prévia à produção intelectual.</t>
  </si>
  <si>
    <t>Gemini_Aval_32</t>
  </si>
  <si>
    <t>Tempos modernos.
Desenvolvimento tecnológico.
Cura de doenças.
Evolução do homem.
Estupro de mulheres.
Opa!
Como assim?
Deve haver algo de muito errado por aqui.
Estupro de mulheres, ainda recorrentes  mesmo num mundo “civilizado”?
Muito tem-se discutido a respeito da violência sexual (ato sexual perpetrado sem o consentimento da vítima), principalmente contra mulheres.
Admitiu-se até a possibilidade da culpa ser da própria vítima, que através de roupas curtas e provocantes, incitaria os homens a tal ponto que, incapazes de se controlarem, atacariam-nas.
Ora, a própria noção e  civilidade implica no  controle dos impulsos humanos mais primitivos, tais como a vontade de machucar o vizinho porque olhou pra sua mulher, o desejo de pegar para si algum objeto pertencente a outrem e, é claro, a vontade de fazer sexo com alguém, mesmo (e especialmente) contra sua vontade.
Quando esse controle não ocorre, voltamos, sim, ao estado primitivo da era dos homens das cavernas.
E em uma sociedade em pleno séc.
XXI, tal retrocesso nos padrões de comportamento são inaceitáveis e absolutamente prejudiciais para a convivência pacífica (e desejável) entre seus membros.
Afinal, alguns argumentam que a mulher é estuprada quando escolhe uma vestimenta provocante, que a mulher está dando direito ao homem de praticar a violência.
Essa forma de pensamento é totalmente descabido  e completamente sem fundamento, pois a maioria das mulheres que é estuprada usam  roupas consideradas normais.
O fato da  mulher escolher uma vestimenta que mostre um pouco mais seu corpo deve fazê-la sentir-se valorizada e bela, e não humilhada e objetificada, como no caso do estupro.
Além do mais, estupros são condenáveis (e condenados) mesmo em culturas onde mulheres expõem seus seios ou outras parte do corpo.
A “permissão” ou o “convite” para o homem pegar a mulher a  força está na mente doente e atrasada dele mesmo.
Infelizmente, não sei se há uma solução eficaz e duradoura para esse problema.
Deve-se, no entanto, punir os perpetradores com penas severas e estimular, através da educação, idéias salutares e civilizadas de convivência humana, levando-se em conta sempre os sentimentos do outro.
Afinal, porque é primitivo e porque é violência não deve ser tolerado nunca.</t>
  </si>
  <si>
    <t>A persistência da cultura do estupro no Brasil revela uma face sombria da sociedade, onde a responsabilidade pela violencia sexual é, por vezes, transferida da figura do agressor para a própria vítima.
Essa problemática que se manifesta na crença de que a vestimenta ou o comportamento feminino justificam o ato perpetua um ciclo de silenciamento e injustiça.
Diante disso, é imperativo questionar a lógica perversa que culpa a vítima, em vez de focar as raízes estruturais e a impunidade que fomentam tal comportamento.
Um dos pilares dessa cultura deletéria é a desresponsabilização do agressor, amparada por uma visão machista e patriarcal.
A ideia de que "mulheres que usam roupas curtas merecem ser atacadas", infelizmente ainda presente em parte do imaginário social, desvia o foco do crime para um suposto "convite" da vítima.
Tal perspectiva ignora o fato de que o estupro é um ato de poder e violencia, e não de desejo sexual, e que a liberdade individual de cada um vestir-se como quiser é inalienável.
A culpa, portanto, reside exclusivamente no indivíduo que comete o ato criminoso, e não na forma como a vítima se apresenta.
As consequencias desse pensamento são devastadoras e abrangem tanto o âmbito individual quanto o coletivo.
A vítima, além do trauma do abuso, enfrenta o julgamento social, o que muitas vezes a impede de denunciar ou buscar apoio, reforçando o ciclo de impunidade.
Essa atitude acaba por naturalizar a violencia contra a mulher, fazendo com que a sociedade se torne complacente com a questão.
Além disso, a dificuldade em reconhecer o estupro como um problema sistêmico dificulta a implementação de políticas públicas eficazes de prevenção e combate, mantendo a vulnerabilidade das mulheres.
É evidente portanto que a luta contra a cultura do estupro exige uma transformação profunda.
Para combater essa grave questão social, o Estado deve, em parceria com as instituições de ensino e a mídia, promover campanhas educativas massivas.
Tais campanhas devem enfatizar que o consentimento é fundamental e que a culpa é sempre do agressor, nunca da vítima.
Adicionalmente, é crucial que o sistema judiciário aprimore seus mecanismos para garantir a punição exemplar dos agressores desestimulando a prática e assegurando que as vítimas recebam o apoio necessário e a justiça que lhes é devida.</t>
  </si>
  <si>
    <t>Gemini_Aval_33</t>
  </si>
  <si>
    <t>Discute-se com freqüência o compromisso moral que devemos ter de falar a verdade com os outros e com nós mesmos, inclusive, sabemos que em alguns casos, como nos tribunais,o não falar a verdade, mas mentir, deliberadamente, é crime sendo passível de multa e, até prisão .
No entanto também sabemos que a vida é dinâmica, nela enfrentamos variadas situações e contatamos diferentes pessoas com interesses e demandas diversas para as quais, nem sempre, temos uma palavra certa, e nesse caso a mentira se torna uma alternativa necessária.
Claro, que quando defendemos a mentira, como uma alternativa necessária, estamos pensando naqueles casos, nos quais, o dizer uma mentira signifique respeito pelo nível de maturidade do outro, ou mesmo proteção para a vida de alguém.
Como exemplo, temos aquilo que ocorre com a maioria dos pais que, por falta de palavras adequadas e/ou por causa da imaturidade das crianças, mentem para elas, quando questionados a respeito de suas , dos pais,vidas sexuais e reprodutivas : é a famosa estória da cegonha; já um outro exemplo, de utilização necessária da mentira, foi aquele vivido por alguns militantes políticos que, mesmo sob torturas nos porões da ditaduta militar no Brasil, mentiam para proteger da morte seus companheiros.
Entretanto, não aprovamos as aitudes do mentiroso habitual, que propositalmente falsea a verdade, e , com base na mentira busca uma autoafirmação doentia, tanto afetiva como financeira e política, completamente preducial aos outros.
Em tais casos, a mentira não é uma alternativa necessária, mas um problema de caráter que precisa ser desmascarado e tratado como uma deficiência moral.
Portanto, não podemos ter uma atitude conivente com o mentiroso habitual, mas também não devemos ter um fanatismo, de tal modo pela verdade, que desrespeite as nuances das situações e o nível de maturidade das pessoas envolvidas, pois como foi visto, às vezes, a verdade é tão destruidora e faria tantas vítimas que a mentira se torna uma alternativa ética e moralmente necessária.</t>
  </si>
  <si>
    <t>A mentira, um tema que gera muita discussão, é algo presente na vida de todo mundo.
Ela pode ser vista de vários jeitos, e é importante pensar nisso para entender as pessoas e a sociedade.
Entender a mentira nos ajuda a saber lidar com as situações do dia a dia, sejam elas boas ou ruins.
Muitas vezes, a mentira é um problema moral sério.
Ela faz as pessoas perder a confiança umas nas outras, e isso é muito ruim para a sociedade.
Alguém que mente muito, ele vai ter dificuldade em ter amigos ou um bom emprego, porque ninguem vai acreditar nele.
A mentira, quando vira um hábito, pode até ser considerada uma doença para algumas pessoas, que não consegue parar de mentir.
Porém, nem toda mentira é tão grave assim.
As vezes, a gente mente para não magoar alguém, são as chamadas mentiras “boas” ou “brancas”.
Por exemplo, quando você fala que gostou da comida da sua amiga mesmo não tendo gostado muito, pra não deixar ela triste.
Ou então, tem a mentira de brincadeira, tipo no primeiro de abril, que é para dar risada.
Isso não é tão mal, porque todo mundo sabe que é só uma piada e não tem intenção de prejudicar.
Então, a mentira não tem uma resposta só e simples.
Ela pode ser um problema, um jeito de se defender, uma necessidade ou mesmo uma brincadeira inocente.
É importante pensar o contexto de cada situação para saber se a mentira é algo aceitável ou não, e o impacto que ela vai ter na vida das pessoas envolvidas.</t>
  </si>
  <si>
    <t>Gemini_Aval_34</t>
  </si>
  <si>
    <t>A implementação do sistema de cotas para ingresso em universidades federais tem sido um dos temas mais debatidos no cenário educacional brasileiro.
Essa medida, que reserva parte das vagas para estudantes de escolas públicas, de baixa renda, negros, pardos e indígenas, gera opiniões divergentes na sociedade.
Enquanto alguns a enxergam como uma ferramenta essencial para combater desigualdades históricas e promover a inclusão, outros a criticam por supostamente ferir o princípio da meritocracia e mascarar problemas estruturais da educação básica.
É nesse contexto de polarização que se faz necessário analisar a complexidade da questão.
De um lado, os defensores das cotas argumentam que elas representam um instrumento fundamental de justiça social.
Historicamente, grupos minoritários e estudantes oriundos de escolas públicas de baixa qualidade enfrentaram barreiras significativas para acessar ao ensino superior.
As cotas, nesse sentido, buscam equalizar oportunidades, proporcionando a esses indivíduos a chance de ascender socialmente e de contribuir para o desenvolvimento do pais.
É inegável que a diversidade no ambiente acadêmico enriquece as discussões e reflete de forma mais fidedigna a composição da sociedade brasileira, promovendo um futuro mais justo.
Contudo, há quem critique a eficácia e a justiça do sistema de cotas.
Muitos apontam que a priorização de critérios raciais ou socioeconômicos em detrimento do mérito acadêmico pode comprometer a excelência das universidades e a qualidade do ensino oferecido.
Além disso, argumenta-se que as cotas desviam o foco do verdadeiro problema: a precariedade da educação básica pública.
Em vez de remediar a desigualdade na porta de entrada do ensino superior, seria mais eficaz investir massivamente na base, garantindo que todos os alunos, independentemente de sua origem, possam competir em condições de igualdade e ter acesso a um ensino de qualidade.
A real solução passa por melhorar as escolas publicas.
Diante do exposto, percebe-se que as cotas para universidades federais são uma medida complexa, com impactos tanto positivos quanto negativos.
Embora representem um esforço louvável para promover a inclusão social e reparar injustiças históricas, não podem ser vistas como a solução definitiva.
É fundamental que o governo federal e as esferas estaduais atuem em conjunto para fortalecer à educação básica, investindo em infraestrutura, formação de professores e material didático de qualidade.
Somente assim se poderá construir uma sociedade verdadeiramente justa, onde o acesso ao ensino superior de excelência seja uma realidade para todos, sem a necessidade de medidas paliativas, garantindo a todos o acesso à educação.</t>
  </si>
  <si>
    <t>As cotas para universidades são uma forma válida de inserção social e racial, porém não resolvem completamente o problema das minorias brasileiras, apenas disfarçam a real situação da rede pública de ensino e a diferença na qualidade da formação intelectual dos estudantes de diferentes classes sociais, não importando sua raça.
Se por um lado a raça e a divisão social não influenciam em nada na capacidade intelectiva de um indivíduo, por outro lado a qualidade do ensino recebida nos níveis fundamental e médio atuam como fator decisivo na hora de competir por uma vaga no ensino superior.
Desta  forma, um verdadeiro mecanismo de apoio às classes sociais desfavorecidas deveria também equiparar o ensino público ao particular.
Outro fator importante a se pesar é que o ingresso às  universidades e institutos federais por  alunos menos favorecidos não garantem  a sua permanência nos cursos, surge  então, a necessidade de uma política de amparo para que se evite a evasão dos cursos e a repetência, em especial por estes  alunos, mostrando mais uma vez que o uso de cotas por si só é insuficiente para colocar as várias camadas da sociedade brasileira no mesmo patamar educacional.
Sendo assim, juntamente com as cotas para universidades, dever-se-ia investir intensamente na educação básica gratuita e políticas de apoio à  alunos das minorias  que já fazem curso superior, fazendo com que um dia não seja mais necessário o uso das cotas como mecanismo de inserção social e racial.</t>
  </si>
  <si>
    <t>Gemini_Aval_35</t>
  </si>
  <si>
    <t>A escola sempre ensinou o jeito certo de falar e escrever, que é a norma culta, essa que tá nos livros e nas gramáticas.
Mas hoje em dia as pessoas fala de um jeito muito diferente na rua ou em casa, que são as variantes linguísticas, as gírias e o linguajar do dia a dia de cada um.
Aí fica a pergunta mais importante: como a escola deve agir com isso, com essa diferença tão grande?
Deve só ensinar o certo e corrigir tudo que não for padrão, ou também dar valor para o jeito que todo mundo fala naturalmente?
É um debate importante que envolve muita coisa para pensar, e o papel da escola nesse assunto é fundamental para o futuro dos jovens e sua inclusão na sociedade, para que ninguém se sinta excluído.
É claro que a norma culta é muito importante, ela serve para a gente se comunicar melhor em lugares mais sérios, tipo no trabalho, em uma entrevista de emprego ou quando vai fazer uma prova importante para o futuro.
Se a gente não sabe falar direito, usando as regras da gramática, pode passar vergonha ou mesmo não ser compreendido de forma clara por todos.
A escola tem o dever de mostrar esse lado, por que sem o português correto, fica difícil para o aluno seguir em frente e ter sucesso na vida, nas universidades e em suas carreiras profissionais.
Ela é a base para tudo e garante que as pessoas se entenda em todo o país, mantendo uma unidade na comunicação oficial e nos documentos.
Por outro lado, não podemos ignorar que o povo fala de vários jeitos, e isso é normal e acontece em todas as línguas.
Cada região tem seu jeito de falar, com sotaques e palavras próprias que são usadas no cotidiano, e mesmo dentro da mesma cidade as pessoas falam diferente dependendo do grupo social ou da idade.
Esse jeito de falar é parte da cultura e da identidade de cada um, é como a pessoa se expressa e se relaciona com o mundo ao seu redor.
A escola não pode simplesmente dizer que está tudo errado e desvalorizar isso, porque isso pode fazer o aluno se sentir mal, com vergonha de sua própria origem e de sua família.
É importante respeitar a forma que as pessoas se expressam, mesmo que não seja a norma culta, afinal a língua é viva e muda o tempo todo e isso é uma riqueza.
Não dá pra ficar presos num só jeito de falar, né, a vida real não é assim tão fechada.
Então, a escola precisa encontrar um jeito de lidar com essa situação complexa e que gera muita discussão.
Não dá pra só ensinar a norma culta e esquecer as variantes, como se elas não existisse e não fossem importantes para a comunicação do dia a dia, mas também não pode deixar de ensinar o certo, o padrão que é exigido.
Talvez a solução seja mostrar para os alunos que existe diferentes jeitos de usar a língua, e que cada situação pede um jeito diferente, mais formal ou mais informal, dependendo do contexto.
Assim eles vão aprender a hora de usar o português formal, para ter mais oportunidades e se expressar em ambientes sérios, e a hora de usar o jeito mais solto, com seus amigos e familiares, sem preconceito com nenhum deles.
É um desafio grande para os professores, mas eles tem que conseguir equilibrar essas duas coisas para o bem dos estudantes e para que todos se comuniquem bem.</t>
  </si>
  <si>
    <t>Em nosso país, vivemos um fato comum em qualquer outro, porém muito mais elevado, as variantes lingüísticas.
Basta um passeio entre um estado e outro para percebermos essa peculiaridade.
Se um paulista vai para o nordeste, é como se estivesse saído do país, com tanta diferença na pronúncia, nomes, sotaques e gírias .
A partir daí, devemos nos perguntar: qual a melhor posição da escola diante de tanta variedade lingüística, ensinar a forma culta ou as variantes regionais?
Acredita-se que seja a norma culta.
Ao contrario  das variantes  , a norma culta nos permite nos expressar melhor para qualquer pessoa que domine a língua portuguesa.
Até mesmo o nome das comidas e objetos varia de uma região para outra.
Por exemplo, os capixabas denominam semáforo de sinal e carta de motorista de carteira de motorista, e isso acaba gerando muita confusão para os estrangeiros e para os próprios brasileiros.
Mas como então evitar tanta confusão?
Pensa-se que a única forma de se fazer isso é           utilizando a forma culta nas escolas, e não as variantes de cada região.
E junto com as variantes surgem às gírias de cada região, o que torna muito mais difícil o entendimento de uma pessoa que não é daquele lugar.
A forma culta é a utilizada para nos comunicarmos com estrangeiros, pois é muito mais fácil deles  entenderem.
Nenhum estrangeiro vai querer estudar as gírias ou variantes de cada região do país, mas sim a melhor maneira de se comunicar, com qualquer pessoa e em qualquer região, com um melhor entendimento.
O acordo ortográfico que ocorreu entre os países que adotam a língua portuguesa, veio com o objetivo de unificar não só a pronuncia , mas também a escrita para uma melhor compreensão e entendimento.
Pensando dessa forma, o acordo se torna inútil se dentro de um país que não se utiliza a forma culta, mas sim as variantes de cada região.
O que torna impossível a unificação de uma língua.
Portando, a maneira mais fácil de nos expressarmos é com a forma culta, pois garante a compreensão de todos em qualquer lugar.
Com isso, ela deve ser a forma utilizada nas escolas, para que as crianças, já cresçam sabendo a melhor maneira de se expressar, para que todos possam entender.
Padronizando  assim a língua portuguesa dentro do nosso país.</t>
  </si>
  <si>
    <t>Gemini_Aval_36</t>
  </si>
  <si>
    <t>O Brasil viu muita manifestações popular nos últimos anos.
Muita gente foram para a rua pra protestar contra varias coisa, como o aumento do transporte público e a corrupção.
Esses protestos fizerão barulho e todo mundo falava disso.
As pessoas queria mudança, um país melhor para todos.
Depois das manifestações, os político ficaram preocupado.
Eles prometeu que iam mudar as coisa, tipo a saúde e a educação, que são muito importante.
Muitos cartazes dizia que "o Brasil acordou", mostrando a esperança do povo em ter um futuro diferente.
A população sentia que algo novo tava começando e que eles tinha poder para cobrar.
Mas a verdade é que nem tudo mudou rapido como se esperava.
Algumas coisa pequenas até que sim, tipo o preço do onibus em alguns lugares que baixou, uma vitória indiscutível.
Só que as grandes questões, tipo a corrupção e a má gestão do dinheiro, estas são mais dificil de resolver e leva muito tempo.
Não é de uma hora pra outra que um pais muda de vez, é um processo bem demorado.
Então, o que muda no país depois das manifestações?
Dá pra dizer que a atenção para os problema aumentou muito.
Os político sabe que a população está mais de olho agora e cobra mais.
Mas, para ter mudanças grandes, a gente precisar continuar cobrando e participar, senão as coisa volta ao que era antes, e tudo fica igual.
O futuro ainda é incerto e depende de nós.</t>
  </si>
  <si>
    <t>“VERÁS QUE UM FILHO TEU NÃO FOGE À LUTA”.
Este  foi alguns  dos lemas que motivou  toda a nação brasileira nos últimos dias a irem  para as ruas reivindicar melhorias para nosso País  .
Começando pelo pedido de redução das tarifas do transporte público, principalmente nos Estados de São Paulo e Rio de Janeiro.
Dando início assim a uma grande manifestação que se estendeu por todo o País  .
Após o começo dessa manifestação pacífica, o povo brasileiro quis mais, logo veio à  sede de um País  sem corrupção  onde a Saúde e a Educação merece  mais atenção que estádios feitos para Copa das Confederações e Copa do Mundo, tiveram  também o pedido de rejeição da PEC (37)  que estava na mira dos protestos e muitas outras          questões impostas.
Mas será que já conseguimos alguma melhoria para o nosso País  com essas manifestações?
Finalmente os cidadãos do nosso País  não se calaram diante de seus direitos.
Em algumas cidades os prefeitos já se posicionaram e decidiram então reduzir as tarifas dos transportes públicos, houve  também a rejeição da PEC (37)  pela Câmara dos Deputados e isso já é uma grande vitória para nós.
As manifestações não pararam, pretendendo assim mostrar que o povo brasileiro cansou e grita contra a impunidade .
E para  que o Brasil seja considerado “Um País de todos” ainda existem muitas questões a serem resolvidas, e principalmente,  temos que ser levado  a sério pelos nossos dirigentes.</t>
  </si>
  <si>
    <t>Gemini_Aval_37</t>
  </si>
  <si>
    <t>Para debatermos a respeito da implantação da lei que proíbe os pais de "darem os tapinhas educativos", devemos antes de qualquer coisa refletir sobre o que significa educar através de  castigos.
Educar, de forma extremamente resumida, é ensinar algo a alguém, neste caso ao filho, e educar através de  castigos é puni-lo por ele ter feito a escolha errada  que contradiz as regras impostas.
Entretanto, este pequeno ser está descobrindo que há muito mais coisas para se fazer no mundo do que apenas aquelas impostas por seus pais.
Infelizmente este aprendiz não terá chances de fazer explorações, já que sofreu um ato violento, significando que há limites proibidos de serem ultrapassados.
O ato violento que a lei considera diz respeito às brutalidades físicas, no entanto, muitas vezes são as violências psicológicas que deixam marcas mais profundas e mais traumáticas.
Mas independente  de qual violência for cometida, estamos falando de algo que desi quilibra  mais do que edifica, pois os castigos impendem de percebemos  sozinhos que estamos errados (ou não!), e nos impede  de refletir sobre as causas e consequências  .
Dessa forma, ocorre uma ação condicionante, ou seja, não fazemos mais tais coisas porque isso significa que vamos nos machucar.
Assim também acontece com o rato no laboratório.
Ele não escolhe determinada opção porque levará um choque e, portanto, é condicionado a optar pelo caminho que o cientista arbitrariamente escolheu como o melhor.
Um outro problema da educação através dos castigos é que o ato violento emudece, poda, cristaliza, prende e limita aquele que está aprendendo, impedindo que transcorra a plenitude do desenvolvimento das capacidades.
A criatividade surge quando não há represálias, a mente crítica acontece quando lhe é permitida a livre expressão.
Só conseguimos nos manifestar como seres inteiros quando conseguimos conhecer todas as possibilidades.
E tudo isso é possível quando não sofremos traumas, que são gerados em muitos casos com a atividade desses "tapinhas educativos".
Quem educa ensina a pensar, quem castiga ensina a sermos subjugados e vivermos como ratos.</t>
  </si>
  <si>
    <t>A proibição do castigo físico em crianças é um tema que gera muita conversa na sociedade hoje.
Muitas pessoas acha que é errado bater, mas outros pensam que é parte da educação dos filhos.
Essa nova lei, que quer acabar com qualquer tipo de palmada, mostra como o governo ta querendo se meter na vida das famílias.
É importante pensar se isso é bom ou não para as crianças e para os pais.
Alguns pais acredita que uma palmada bem dada, de vez em quando, serve para ensinar limite.
Eles dizem que sem isso, os filhos ficam muito mal-educados e não respeita ninguem.
Afinal, os pais são os responsáveis por criar os filhos e deviam ter o direito de escolher como educar.
A lei não pode tirar essa autoridade que é tão importante pra formação do caráter da criança.
Se o governo proibe tudo, os pais vão ficar com medo de educar seus filhos e eles podem virar pessoas sem disciplina.
Por outro lado, tem gente que fala que bater nunca é a solução e pode machucar a criança.
O castigo físico pode deixar traumas e fazer a criança ter medo, em vez de entender o que é certo.
A criança tem direito de ser protegida de qualquer agressão, mesmo que venha dos próprios pais.
É dever do estado garantir que nenhuma criança sofra violência, e essa lei parece ser um jeito de fazer isso.
Existem outras formas de educar, como conversar e explicar, que são muito melhor do que bater.
Então, a proibição do castigo físico é um assunto que tem dois lados, cada um com seus motivos.
É complicado saber se o governo tem mesmo que se intrometer na educação familiar.
Talvez o ideal fosse ter mais campanhas para ensinar os pais a educar sem bater e o estado devia dar mais apoio pras famílias.
Assim, as crianças seria protegidas, mas os pais não ia perder sua autonomia, garantindo uma sociedade mais justa e sem violência.</t>
  </si>
  <si>
    <t>Gemini_Aval_38</t>
  </si>
  <si>
    <t>Aquecimento global, terremotos, furacões, enchentes  palavras não muito novas mais  .
No começo do ano, no Brasil, as chuvas ficam mais intensificas  mais um conseguencia nos estados do Rio de Janeiro, por  ser uma região cheia de morros, deixou varias vitimas  e milhares de desabrigados.
Especialista disse  que tudo isso pode ser evitado com investimento em tecnologia e informações para as pessoas.
Mais  do que adianta palavras se o principal ninguém faz?
São Paulo, apontados pra  muitos como uma grande potencia  industrial e econômica do Brasil, também é uma das principais cidades atingida com forte  chuvas e enchentes.Todo ano, quando chega a época de chuva, á  alagamentos em várias partes de cidades, deixando muitos moradores isolados, sem poder sair de suas casa  .Os governantes encaram isso com  algo fora do normal e não tem  como combater a natureza.
Mais  os moradores tem  sua parcela de culpa, quando jogando  lixo na rua em entope  os bueiros, assim  a água fica parada, sem ter pra  onde escorrer.
E realmente não tem  como combater aos  fenômenos climático mais a  como evitar mais danos.
Evitar metidas provisórias e fazer  um projeto de longo prazo de benefício a todos.Investir  em infraestrutura, ocupação urbana, tecnologia são base para o começo.
?Mas então, já que resposta é tão evidente, por que em todos esse ano  nada foi feito??</t>
  </si>
  <si>
    <t>As enchentes representam um dos mais recorrentes e devastadores fenômenos naturais que assolam o Brasil anualmente, gerando um debate constante sobre suas causas.
É comum associar tais desastres exclusivamente ao excesso de chuvas, culpabilizando a natureza pela fúria de suas manifestações.
No entanto, essa perspectiva simplista negligencia a complexa teia de fatores socioeconômicos e urbanísticos que transformam um evento climático em uma verdadeira tragédia, evidenciando que a culpa não recai unicamente sobre as precipitações.
A urbanização desordenada, característica de muitas cidades brasileiras, é um dos principais catalisadores para o agravamento das enchentes.
A ocupação irregular de encostas e áreas de várzea, somada à impermeabilização do solo pelo asfalto e concreto, impede a absorção natural da água e contribui para o rápido escoamento superficial.
Além disso, o desmatamento de matas ciliares e áreas verdes adjacentes aos rios acarreta à degradação do ecossistema e a perda de barreiras naturais contra a erosão, intensificando o volume e a velocidade das enxurradas que atingem os centros urbanos.
Adicionalmente, a ineficácia e a omissão do poder público são elementos cruciais para a recorrência dessas catástrofes.
A falta de investimentos em infraestrutura adequada, como sistemas de drenagem eficientes e saneamento básico, bem como a ausência de um planejamento urbano eficaz, deixam as cidades vulneráveis.
Muitos municípios mesmo cientes dos riscos iminentes, falham em implementar políticas de prevenção, realocação de famílias em áreas de risco e sistemas de alerta precoce, o que evidencia que fatores humanos e a falta de gestão pública são também determinante para a magnitude dos estragos.
Portanto, é imperativo reconhecer que as enchentes não são meros caprichos da natureza, mas sim o resultado da interação entre fenômenos meteorológicos e a vulnerabilidade social e estrutural criada pela ação humana e a negligência estatal.
Para mitigar esses impactos, o Estado, por meio de suas esferas municipais e estaduais, deve elaborar e executar planos de contingência e investir massivamente em obras de infraestrutura, como a construção de sistemas de drenagem modernos e a recuperação de áreas verdes.
Tais ações, financiadas por verbas públicas e em parceria com a sociedade civil, visam proteger a população e garantir um desenvolvimento urbano mais resiliente diante dos desafios climáticos.</t>
  </si>
  <si>
    <t>Gemini_Aval_39</t>
  </si>
  <si>
    <t>A hostilidade massiva enfrentada por Geisy Arruda em uma universidade paulista, em 2009, ao vestir um minivestido, transcendeu a mera discussão sobre adequação de trajes e se tornou um emblemático estudo de caso das tensões sociais no Brasil.
O episódio, que culminou na necessidade de escolta policial para a estudante, revelou não apenas um julgamento público exacerbado, mas também as profundas fissuras de uma sociedade que ainda se debate entre a liberdade individual e normas sociais conservadoras.
A controvérsia, portanto, não reside no vestuário em si, mas sim na manifestação de um machismo estrutural e de uma intolerância coletiva que se sobrepõem ao respeito à autonomia pessoal e à educação para a diversidade.
Em primeiro plano, o caso Geisy Arruda escancara a persistência de um machismo arraigado na cultura brasileira, que historicamente patrulha e objetifica o corpo feminino.
Conforme teorizado por Simone de Beauvoir em "O Segundo Sexo", a mulher é frequentemente construída como o "Outro", cuja existência e comportamento são definidos em relação ao homem, e seu vestuário é, muitas vezes, interpretado como um convite ou provocação.
A reação desproporcional à roupa de Geisy, com xingamentos e humilhação por centenas de pessoas, ilustra essa lógica perversa, onde a culpa pela “perturbação” recai sobre a vítima, e não sobre a agressão coletiva.
Tal perspectiva desvia o foco da violência praticada, naturalizando a ideia de que a mulher é responsável pela reação alheia, perpetuando um ciclo de opressão.
Ademais, o incidente evidencia uma flagrante intolerância e a carência de uma educação eficaz para a diversidade e o respeito às escolhas individuais no tecido social.
A conduta da multidão, que se uniu em um coro de reprovação e escárnio, remete à "anomia" de Émile Durkheim, onde a ausência de normas sociais claras ou o desrespeito a elas pode gerar desordem e hostilidade.
Em vez de um ambiente acadêmico propício ao debate e à coexistência de diferentes estilos, a universidade se tornou palco para um linchamento moral coletivo, demonstrando a incapacidade de muitos em lidar com o que foge ao padrão estabelecido.
A posterior expulsão da estudante pela instituição, ainda que revertida, reforça a tendência de punir o diferente em vez de educar para a pluralidade de visões e comportamentos.
Portanto, o episódio envolvendo Geisy Arruda transcende a discussão sobre um simples traje, revelando a urgência de se confrontar o machismo e a intolerância entranhados na sociedade.
Para mitigar tais problemas, o Ministério da Educação (MEC), em conjunto com as instituições de ensino superior, deve implementar programas obrigatórios de educação para a diversidade e respeito às liberdades individuais.
Tais iniciativas devem ocorrer por meio de palestras, workshops e disciplinas transversais que abordem questões de gênero, machismo, intolerância e direitos humanos, com foco na formação crítica dos estudantes e docentes, visando desconstruir preconceitos e fomentar um ambiente acadêmico e social mais inclusivo e respeitoso.
Além disso, as universidades devem estabelecer canais claros e eficazes para denúncias de assédio e discriminação, garantindo acolhimento e punição exemplar aos agressores, a fim de reafirmar o compromisso com a dignidade humana.</t>
  </si>
  <si>
    <t>Ainda há muito preconceito no mundo, no caso da estudante de turismo a Geisy foi um exemplo, humilharam por causa de uma roupa curta e teve que sair com escouta  da policia  e todos os estudantes fora de sala de aula gritando e falando palavras de baixo calão.
Em uma faculdade não haveria de existir isso, porque é um lugar para aprender e ter uma profissão para a vida toda e ainda mais em uma faculdade recebe muito alunos de todos os tipos, raças, religião e pessoas de diferentes clase social  .
Os estudantes foram maus educados  chamando a estudante Geisy de garota de programa alem  de maus educados  foram muito preconceituosos porque até mesmo uma prostituta tem o direito de ter uma profissão uma vida digna, logico  agora a Geisy ta  colhendo o fruto desse escândalo participando de vários  programas de televisão .
As facudades  deveriam ter mais tolerancia   as  pessoas e não deveriam se preocupar tanto com os outros com as roupas das pessoas e sim estudar mais para ser um bom profissional e ter uma boa faculdade um curso bom e assim ser feliz e ser bom naquela faculdade e profissão que escolheu.</t>
  </si>
  <si>
    <t>Gemini_Aval_40</t>
  </si>
  <si>
    <t>A incessante busca por um padrão estético idealizado tem se tornado uma marca proeminente da sociedade contemporânea.
Impulsionada pela mídia e por uma cultura de comparação, a ideia de "corpo perfeito" transcendeu a esfera da saúde para se consolidar como um bem de consumo.
Nesse contexto, é fundamental analisar como essa obsessão pela forma física idealizada se entrelaça com o consumismo e quais são as suas consequências para o indivíduo e a coletividade.
Primeiramente, a pressão social e a onipresença de imagens corporais "perfeitas" nas redes sociais e na publicidade moldam expectativas irrealistas.
Essa "ditadura da beleza" leva muitos a crer que a felicidade e o sucesso estão intrinsecamente ligados a uma aparência física específica.
Consequentemente, a indústria da beleza e da estética prospera, oferencendo uma gama variada de produtos e procedimentos que prometem transformações rápidas, alimentando um ciclo vicioso de insatisfação e consumo.
A busca por este ideal, muitas vezes inatingível, gera frustração e impulsiona a adesão à práticas extremas.
Ademais, o consumismo desenfreado no setor estético expõe os indivíduos a riscos significativos.
A promessa de resultados milagrosos e a facilidade de acesso a procedimentos, por vezes realizados por profissionais sem a devida qualificação ou com produtos inadequados, evidenciam a mercantilização do corpo.
Casos de complicações graves, como infecções, necroses e até óbitos, são recorrentes na imprensa, mas parecem não freiar o desejo de alteração corporal a qualquer custo.
Há uma falha em conscientizar a população sobre os perigos inerentes à busca por um corpo que se encaixe em padrões de beleza voláteis.
Em suma, o ideal de corpo perfeito, transformado em objeto de consumo, revela uma problemática social complexa.
Para mitigar os impactos negativos desse fenômeno, é preciso que as instituições educacionais, em parceria com a mídia, promovam campanhas de conscientização sobre a diversidade corporal e os riscos associados a procedimentos estéticos não regulamentados.
O governo, por sua vez, deve intensificar a fiscalização de clínicas e produtos, garantindo a segurança dos consumidores.
Somente assim será possível desconstruir a ditadura da beleza e fomentar uma relação mais saudável com o próprio corpo.</t>
  </si>
  <si>
    <t>É preciso, inicialmente, observar, que  a sociedade busca um corpo perfeito devido os  padrões estabelecidos pela média  , que exibe mulheres em plena forma física          que gastam a maior parte dos seus salários com produtos de beleza, roupas e sapatos virando consumistas.
Não se pode esquecer, do  exagero no  qual as famosas se submetem, rostos são deformados, aplicações de produtos por todo o corpo, como no caso da modelo Andressa Urach que fez a aplicação de uma substancia chama  hidrogel nas coxas e  após 5 anos  causou uma serie  de problemas, antes o que era para dar volumes em suas pernas, causou manchas e dores, ela teve que passar por várias cirurgias para a retirada do produto e seu estado de saúde ficou delicado, após muitos tratamentos a modelo se recuperou.
Deve-se frisas  , por outro lado, que se cuida  e se sentir bem é importante, porém, ter cuidado para não virar uma doença  uma compulsão pelo corpo perfeito, beleza  é resultado de saúde, então é necessário ter um equilíbrio, ser feliz consigo mesmo, pois a insatisfação corporal pode causar doenças como anorexia, bulimia, depressão entre outras consequências.
Com isso, a família e a escola  que juntas são responsável  pela formação das futuras gerações tem  que ser reeducada  passar para as futuras gerações a ideia correta de beleza, mostra as  crianças o que é realmente importante, para que elas não sejam manipuladas nem virem consumista  , ou seja, desenvolvam a criticidade para serem cidadãos conscientes de suas escolas e ações.
Consequentemente, seguir padrões de beleza pode causar sérios problemas, ter saúde e se sentir bem é o mais importante, cada pessoa deve criar seu próprio padrão de beleza.</t>
  </si>
  <si>
    <t>Gemini_Aval_41</t>
  </si>
  <si>
    <t>A automedicação configura-se como um dos mais prementes desafios à saúde pública brasileira, assumindo contornos particularmente alarmantes ao se observar sua elevada prevalência entre a população juvenil.
Longe de ser um fenômeno isolado, essa conduta reflete uma confluência de fatores sociais e culturais intrínsecos à contemporaneidade.
Nesse panorama, a propensão dos jovens a recorrer a fármacos sem prescrição médica decorre, precipuamente, do imediatismo inerente à sociedade líquida e da lacuna educacional acerca dos riscos associados e da imprescindibilidade da orientação profissional qualificada.
Primordialmente, a sociedade hodierna, imersa na lógica do consumo e da celeridade, fomenta a busca por soluções instantâneas para qualquer desconforto, inclusive os de ordem sanitária.
Conforme teorizado por Zygmunt Bauman, em sua análise sobre a modernidade líquida, as relações e as expectativas se tornam fluidas e efêmeras, incentivando a resolução rápida de problemas em detrimento da paciência e da investigação aprofundada das causas.
Nesse contexto, a dor de cabeça ou o mal-estar trivial são percebidos como entraves à produtividade e ao lazer, impelindo o jovem a buscar no medicamento de acesso fácil uma panaceia imediata, sem a devida ponderação sobre as consequências a longo prazo ou a real necessidade de intervenção especializada.
Outrossim, a deficiência na educação sanitária contribui significativamente para a banalização da automedicação entre os mais novos, corroborando a tese proposta.
A ausência de um ensino crítico e abrangente sobre os perigos do uso indiscriminado de fármacos nas escolas e a exposição a publicidades que, por vezes, minimizam a complexidade dos medicamentos, criam um ambiente propício à desinformação.
Tal cenário impede que os indivíduos desenvolvam uma percepção acurada dos riscos associados à ingestão de substâncias sem o devido acompanhamento, como interações medicamentosas perigosas, mascaramento de doenças graves ou o desenvolvimento de resistência a antibióticos, perpetuando um ciclo de vulnerabilidade.
Diante do exposto, torna-se imperativo mitigar a prática da automedicação irresponsável entre os jovens, revertendo o quadro de riscos à saúde pública.
Para tanto, o Ministério da Saúde, em colaboração com o Ministério da Educação, deve implementar um programa nacional de conscientização e educação em saúde.
Tal iniciativa, veiculada por meio de campanhas informativas em plataformas digitais e redes sociais, além da inserção de módulos educativos no currículo escolar do ensino médio, visa a elucidar os perigos da automedicação, como a intoxicação, a ineficácia do tratamento e o agravamento de patologias subjacentes.
Dessa forma, espera-se fomentar a responsabilidade individual e o discernimento crítico, incentivando a busca por profissionais de saúde qualificados e garantindo o bem-estar coletivo.</t>
  </si>
  <si>
    <t>Comumente se vê pessoas praticando a automedicação, muitas vezes porque viu a propagando  do medicamento na televisão, outras vezes por conselho de um conhecido.
A automedicação, por um lado, é boa  para não sobrecarregar os hospitais, mas por outra  coloca em risco a vida de quem a pratica.
A questão “saúde” no Brasil ainda é algo que merece mais atenção e investimentos.
Os hospitais, sejam eles públicos ou privados, e postos de saúde, estão com superlotação, o que causa demora no atendimento e uma má prestação de serviço.
A fim de evitar a espera  muitas pessoas fazem a automedicação.
Os jovens, os mais adeptos da prática, são          muitas vezes influencias pelas propagandas, muitas vezes ilusórias, vinculadas aos  meios de comunicação,          uma vez que eles assistem a tevê e ouvem ao rádio mais do que uma pessoa adulta.
Não é raro ouvir casos de pessoas que morreram por se automedicar, muitas vezes devido a uma superdose do medicamento.
A prática é algo que pode ser fatal.
Segundos a Fundação Oswaldo Cruz (FIOCRUZ), em 2007 quase que 35 mil pessoas sofreram intoxicação por se automedicarem, sendo que 90 morreram.
As pessoas, e principalmente os jovens, devem ter consciência que remédio é uma droga , e que deve ser ministrado somente por pessoas eruditas no assunto , que estudaram e que sabem a melhor forma de tratar o problema.
Devem saber que automedicação é prejudicial à saúde, podendo levar a  morte ou causar sérios riscos ao corpo.
Os usuários de redes sociais, na maioria os jovens  , devem criar grupos e divulgar o problema para o maior número de pessoas possíveis, informando o risco que elas correm com a automedicação.
Os maiores laboratórios, para evitar que a população sofra problemas sérios com a prática, devem vincular junto a  mídia comerciais informando os graves danos que podem acontecer aos adeptos da prática.
Nas propagandas dos medicamentos todos os laboratórios devem informar as reações adversas mais comum, juntamente com interações medicamentos.</t>
  </si>
  <si>
    <t>Gemini_Aval_42</t>
  </si>
  <si>
    <t>O consumo de álcool entre os jovens tem se iniciado cada vez mais precocemente, configurando-se como um problema social de grande amplitude.
As bebidas alcoólicas, integrantes do grupo das drogas lícitas, são amplamente difundidas na cultura brasileira, o que contribui para a normalização de seu uso.
Contudo, a facilidade de acesso e a falta de conscientização efetiva, acarretam graves consequências para a saúde pública e o desenvolvimento da juventude, exigindo uma abordagem multifacetada para sua contenção.
Um dos fatores que impulsiona o precoce consumo é a forte influência do ambiente social e familiar.
Desde cedo, crianças e adolescentes são expostos à cultura festiva do país, onde o álcool frequentemente está presente em celebrações e eventos cotidianos.
Além disso, a pressão de grupo e a busca por aceitação social levam muitos a experimentar, vendo o ato de beber como um rito de passagem ou um símbolo de amadurecimento.
A publicidade, por sua vez, reforça essa percepção, associando o álcool à diversão e ao sucesso, obscurecendo seus malefícios.
As consequências desse cenário são alarmantes e diversas.
Em termos de saúde, o uso abusivo pode levar à dependência química, problemas hepáticos e neurológicos, além de aumentar o risco de acidentes e violência.
No âmbito social, o alcoolismo juvenil está ligado a problemas escolares, desajustes comportamentais e até a envolvimento em atividades criminosas.
Embora exista legislação que proíbe a venda de bebidas alcoólicas a menores de idade, a fiscalização é, muitas vezes, falha, permitindo que a lei não seja cumprida eficazmente e jovens tenham acesso facilitado.
Portanto, para mitigar os efeitos deste problema social, é imprescindível uma intervenção robusta.
O governo, através do Ministério da Saúde e da Educação, deve intensificar campanhas de prevenção e conscientização nas escolas e mídias, abordando os riscos do alcoolismo de forma clara e acessível.
Ademais, é crucial que haja uma fiscalização rigorosa à venda de bebidas alcoólicas para menores, com punições severas para os estabelecimentos que desrespeitarem a lei.
Somente com o engajamento de toda a sociedade poderemos proteger nossa juventude desse ciclo vicioso.</t>
  </si>
  <si>
    <t>O alcoolismo sempre foi um tema muito abordado por todos na sociedade, julgado como uma falta de "ética" .
Mas por que cada vez mais os adolescentes estão sendo vitimas  do álcool?
O adolescente que tem um pai alcoólatra  seria o motivo ou a "desculpa" para ele se embriagar?
Ou apenas um pretexto para chamar a atenção entre seu grupo de amigos ?
O adolescente passa a usar o álcool quando vê o estado que ele causa nas pessoas que  tem mais contato.
Como uma droga, quer experimentar  a sensação que deixa todos "maravilhados e livres".
E  acaba sendo vitima do vicio dessa droga  , tornando  um dependente dessa droga licita  .
Hoje o álcool é encontrado em qual quer  lugar e vendido para qual quer  pessoa, independente de sua idade.
Apesar da  lei de proibição de venda para menores existir.
Porém, não acredito que essa lei,  resolveria essa catástrofe social.
Pois  nada irá impedir um maior de idade dar bebida para o menor.
Assim acredito que os  adolescentes viciam no álcool por quererem se destacar entre  seu grupo de amigos.
Passam a experimentar visando os seus  companheiros e acabam viciados e vitimas  do álcool.</t>
  </si>
  <si>
    <t>Gemini_Aval_43</t>
  </si>
  <si>
    <t>Sabemos que ao falarmos  de transgênicos não podemos esquecer que o Brasil é uns  dos que mais se beneficia com esses novos métodos descobertos  que estão  apenas na fase de desenvolvimentos  e          poderá ainda ter novidades.
Além disso  se não houvesse esse cruzamento desses produtos  seria muito ruim para os Países  que tem  uma grande quantidade  talvez até a maioria dos produtos transgênicos comercializados  porque não haveria como produzir essa quantidade necessária para o comercio  .
No entanto  esses produtos transformados contem  muitos agrotóxicos que não fazem bem para saúde  podendo causar problemas até mesmo          atacar alergias e outros doenças nos seres humanos e com o passar do tempo podemos ter um agravamento por parte dos transgênicos .
E também é possível  como ainda esta  em desenvolvimento  os transgênicos ainda receba  mais transformações          que não seja   da natureza  seria  mais          transformações forçadas  que poderá  afetar muito a          nossa vida até nos hábitos alimentares.
Nesse caso  acho que devemos tentar logico  manter os transgênicos porque é  uma fonte de alimento para que não falte alimento nunca .
mas também  com consciência  tentar diminuir a quantidade de perigo          para os nossos filhos e até netos futuramente e como fazer isso com pesquisas tentar encontrar uma forma de extinguir o risco para Saúde   futuramente .</t>
  </si>
  <si>
    <t>Hoje em dia, muito se fala sobre os organismo transgênico.
È um assunto bem importante pra nossa sociedade.
As pessoa sempre fica na duvida se ele é bom ou se é ruim, se trazem mais problema ou se trazem solução para o futuro de todo mundo.
É evidente que os transgênico tem seus lado.
Por um lado, eles pode ajudar a alimentar mais gente no mundo, porque as planta cresce mais rapido e são mais forte contra as doença.
Isso é tipo uma solução para a fome, que é um problema muito grande.
Mas por outro lado, tem quem diga que não é bom comer essas coisa, que faz mal pra nossa saude e pro meio ambiente que a gente vive.
Além do mais, os transgênicos também tem a ver com o avanço da tecnologia.
A ciência ta sempre criando coisa nova.
Mas a gente não sabe direito o que acontece no longo prazo.
Podem surgir problemas que ninguem esperava.
As empresa lucra muito com isso, mas a população não sabe os risco de verdade.
É preciso pensar bem antes de sair usando tudo sem controle.
Em conclusão, os transgênicos são um tema bem complicado.
Eles podem ser problema ou solução, depende da visão de cada um.
É importante que o governo faça alguma coisa pra fiscalizar melhor.
E que as pessoas se informe mais.
Assim, a sociedade vai estar mais segura e bem informada.</t>
  </si>
  <si>
    <t>Gemini_Aval_44</t>
  </si>
  <si>
    <t>A presensa da mídia na sociedade atual e muito importante, pois ela traz as informasões que as pessoas presisa.
Numa sociedade onde tudo muda rápido, é esensial ter acesso ao que acontece no mundo.
A imprensa, então, tem um papel de destaque nisso tudo, fazendo com que o povo fique sabendo de varias coisas importantes para o dia a dia e para o futuro.
Isso é uma coisa boa para todos nós.
Um dos deveres da impremsa é mostra o que o governo faz de certo e de errado, para que os cidadaãos possam ter sua propia opinião.
Ela ajuda a fiscalizar e a denunciar os problema, tipo corrupção e coisas que não são boas para o país.
É fundamental que a imprensa seja livre para poder fazer este trabalho, sem sençura ou pressão.
Sem ela, o povo não saberia de um monte de coisa e o país não funcionava direito.
A imprensa não é só para noticiar coisa ruim, ela tambem informa sobre cultura, esporte e lazer, o que e muito bom.
As pessoas gostam de ver notícias sobre o time de futebol ou sobre um novo filme.
Mas, as vezes, a imprensa exagera nas notícias ruin, e ai o povo fica com uma visão negativa da realidade.
É importante que ela seja equilibrada e mostre os dois lados da moeda, para não influenciar de mais a opinião das pessoas.
Em suma, a impremsa tem um papel muito grande na democracia, e é esensial para que a sociedade funcione bem.
Para melhora isso, o governo e as empresas de midia deveria pensar em jeitos de fazer a informasão chegar de forma mais justa.
As pessoas tambem devem procurar varias fontes de noticia e não acreditar em tudo que ver, para ter um penssamento critico.
É importante que todos traballem juntos para uma sociedade melhor.</t>
  </si>
  <si>
    <t>Analisando a imprensa de uma maneira romântica , o que se verá é uma definição que é e deveria ser o discurso de qualquer jornalista: A  imprensa deve passar a informação.
Deve passar o fato e o que aconteceu de fato.
No entanto, o que surge, já no século XX, é uma imprensa         formadora de opinião, transformando-a numa quarta ordem de intelectuais que se une aos escolásticos, humanistas e cientistas .
- Mas a quê  se dá essa 'formação de opinião'?
Ora, não seria um dever moral da imprensa transmitir a informação factual?
Não se apegar a conjunto de valores (ou apegos de militância) na hora de passar essa informação?
Há algum tempo, no Brasil, é usado o conceito de Espiral do Silêncio, criado por Elizabeth Noelle, que consiste em silenciar o fato verídico e transmitir apenas aquilo que o jornalista quer, ou seja, você transmite várias vezes a informação que se quer impregnar no imaginário nacional, e deixa de lado as verdades que atrapalham o objetivo final.
Em outras palavras, você "mascara" a realidade.
Veja, quando o senhor Luis  Inácio da Silva diz "Tenho orgulho de dizer que a imprensa no Brasil é livre.
Ela apura e deixa de apurar o que quer (...)", é de uma gravidade monstruosa.
"Apurar o que quiser", "publicar o que quiser" , deixa de ser jornalismo honesto e passa para a picaretagem pura, onde  o que vale é o que eu quero publicar e não a verdade.
Além do mais, imprensa livre virou mera figura de linguagem, pois é livre apenas para abarcar seus próprios interesses ou interesses de terceiros.
Falar-se em equilíbrio, democracia e igualdade social perde todo o sentido quando estamos, de fato, mentindo para o nosso público.
Querendo  que eles vejam apenas aquilo que meu grupo quer que seja visto.
Isso, além de ser desinformação e desonestidade, é, acima de tudo, uma ditadura da Espiral do Silêncio...
Uma ditadura silenciosa, onde o mundo se torna tão irreal que, se você seguir tais informações, apenas viverá na realidade fantasiosa de um grupo jornalístico.
Um  mundo de papelão!</t>
  </si>
  <si>
    <t>Gemini_Aval_45</t>
  </si>
  <si>
    <t>Já dizia Humberto Gessinger : “Não vemos graça nas gracinhas da TV, morremos de rir no horário eleitoral...” O programa eleitoral gratuito é o momento mais chato da televisão brasileira para o dia de muita gente.
Mal começa e a maioria das pessoas já contam os dias para que acabe.
Tal situação ocorre porque o povo brasileiro, em sua grande maioria, trabalha, e quando  está em casa  quer assistir algo descontraído para relaxar.
Pesa também o fato do  brasileiro não se interessar tanto pela política  é verdade.
A campanha eleitoral de cada partido seria muito interessante e poderia fazer alguma diferença se todos assistissem.
Com isso , os políticos já deveriam ter verificado qual a verdadeira relevância do horário eleitoral.
Se poucos veem, por que obriga-los  para todos?
Por que gastar tanto se ninguém quer ver  ?
O dinheiro gasto com essas campanhas não deveria sair dos cofres públicos sem que o povo queira.
Diante disso, é necessário revisar o tempo de apresentação de cada partido e reduzi-los ainda mais, deixando para apresentarem suas propostas com mais detalhes em revistas e jornais de publicação ou até na internet que já tem amplo acesso.
Essas medidas já poupariam um pouco o bolso do brasileiro  que quer ver obras publicas  e não 30 minutos de mentiras e palhaçadas.</t>
  </si>
  <si>
    <t>O horário de propaganda eleitoral é um momento que aparece na televisão e no rádio antes das eleições, todo ano que tem votação.
Muitas pessoas se pergunta se ele serve para alguma coisa ou se é só perda de tempo.
É importante pensar se esse tempo que os candidatos usa pra falar ajuda mesmo o eleitor a escolher melhor quem vai votar ou se ele só atrapalha o dia a dia das pessoas, que muitas vezes já está cansada de política e quer ver seu programa favorito.
Por um lado, o horário eleitoral pode ser muito útil porque é ali que o eleitor ver os candidatos.
Eles mostra suas ideias e o que querem fazer se for eleito, apresentando suas propostas para a saúde, educação, segurança e economia.
Assim, quem não sabe em quem votar, pode ter uma ideia de quem é quem e o que cada um pensa sobre os problemas do país.
É tipo um catálogo de opções, onde a gente pode comparar um com outro e escolher o que parece melhor antes de ir lá e votar na urna.
Ajuda a formar uma opinião.
Por outro lado, muita gente não gosta de assistir o horário eleitoral.
As pesquisas mostra que um monte de gente nem liga a TV nessa hora, preferindo fazer outras coisas, como mexer no celular ou conversar.
Além disso, as propagandas muitas vezes não fala a verdade, só mostra o candidato como se fosse perfeito, usando música e coisa bonita pra enganar o povo, sem mostrar a realidade.
Isso faz com que o eleitor fica com raiva e não acredite mais no que é dito, achando que é tudo uma encenação.
Então, para muitos, o horário eleitoral se torna meio inútil e até irritante.
Então, dá pra ver que o horário de propaganda eleitoral tem lados bons e ruins.
É bom para conhecer os candidatos e suas propostas, mas também é chato e nem sempre mostra a verdade, afastando o eleitor.
Talvez se as propagandas fosse mais sincera e os candidatos falassem o que realmente vão fazer, sem tanto artifício, e com mais respeito pelo tempo do eleitor, mais gente ia assistir e ia ser mais útil para todo mundo.
O importante é que o eleitor ter informação para votar bem e de forma consciente, para o bem do nosso país.</t>
  </si>
  <si>
    <t>Gemini_Aval_46</t>
  </si>
  <si>
    <t>Muitas pessoas pensam que o preconceito racial está quase chegando ao fim no mundo, e isso é uma coisa boa de se ver.
A gente vê na televisão e nos jornais que as coisas mudaram bastante, e que agora tem mais respeito entre as raças, isso é muito importante.
É como se o passado de racismo estivesse ficando para trás, e um futuro mais igualdade vem aí para todos, com menos problemas para as pessoas.
Um exemplo disso é que muitos negros estão em posições importantes hoje em dia.
Tem presidentes, como o Barack Obama, e também muitos atletas famoso e artistas que são negro, como o Lewis Hamilton.
Isso mostra que, se a pessoa se esforça, ela consegue chegar onde quer, independente da côr da sua pele.
As leis também ajuda bastante, porque elas punem quem pratica o preconceito, o que é muito certo para a sociedade e seus cidadãos que vivem nela.
Claro que, as vezes, ainda acontece alguns casos isolados de preconceito, mas não é mais como antigamente.
Hoje, a maioria das pessoas são mais abertas e não ligam para a raça do outro, o que é bom.
A sociedade estão evoluindo, e é importante que todos se ajudem para que esses pequenos problemas sumam de vez de nossa vida.
Não dá pra negar que o mundo está mais misturado e unido, um lugar melhor para todos viverem em harmonia.
Então, podemos dizer que o fim do preconceito racial está chegando sim, mesmo que demore um pouco mais para acontecer de verdade.
Com o tempo e a educação, todos vão entender que a gente é tudo igual por dentro, e que não existe diferença entre ninguém.
É um processo contínuo, mas o caminho já foi comecado, e isso é o que importa para um futuro sem diferenças e com muita paz para todos os povos.</t>
  </si>
  <si>
    <t>Muito se fala: "O preconceito racial chegou ao seu fim, Obama no poder é a prova disso".
Mas será que é isso mesmo?
Será que o final se dá agora, porque o Obama está no poder?
Acho que não , o seu fim vai ser determinado quando o Obama mostrar a que veio, e que é capaz, e isso não aconteceu ainda, afinal, ele não está no poder.
O preconceito racial sempre vai existir, acho que não poderemos chegar um dia e dizer: "Enfim, não existe mais preconceito".
Primeiro que preconceito não é só racial, tem preconceito referente a classes sociais, a religião, sexual...
Mas o que podemos dizer sobre preconceito racial?
A cada dia os casos são menores, óbvio, as pessoas com o passar do tempo, entendem que: ninguém pode ser julgado pela sua cor de pele.
Aliás, os negros são capazes das mesmas coisas que um branco.
Conforme um seriado norte-americano, os negros que dirigissem carros de alto custo, mesmo que o dirigissem em 10km/h seriam parados, porque para alguns policiais brancos - leia-se grande maioria da época - se um negro dirige um carro de alto valor comercial, ele roubou.
O seriado fez uma crítica cruel, poderia não acontecer de verdade, mas é equivalente a discriminar uma pessoa, seja aonde for, porque sua cor é diferente da sua.
E não falo só de negros, falo de brancos que discriminam negros, e também se torna frequente negros que discriminam brancos.
Óbvio que o passado só condena um lado.
O preconceito racial pode estar acabando para um lado, e começando para outro, é assustador mas pode ser a realidade, enquanto achamos que é o fim, pode ser apenas o começo - ou realmente o fim.
De fato a discriminação sempre existirá, seja por preconceito racial, social ou sexual.
Mas todos tem que aprender a repudiar isso, quanto mais repudiado, mais perto da extinção ele pode estar.</t>
  </si>
  <si>
    <t>Gemini_Aval_47</t>
  </si>
  <si>
    <t>O selinho  é a  modalidade de beijo em que os lábios se tocam de leve.
Toda a população jovem conhece essa "prática" e a maioria deles pensa nela como algo simples e  os pais imaginam  como uma forma de demonstrar carinho para os filhos.
Há pessoas que pensam no selinho  como um forte apelo sexual , tanto que um pai já foi preso apenas por beijar os lábios da filha de oito anos!
Esse foi um caso absurdo, pois não existe pai ou mãe que nunca tenha dado um selinho  em sua criança .
Entre adolescentes ele é normalmente "utilizado" , até mesmo para demonstrar amizade, mas normalmente ocorre entre pessoas de sexo oposto,             tudo por causa da discriminação do afeto entre pessoas do mesmo sexo (homossexualidade).
Também há pessoas que sempre recusam selinhos  , mesmo de quem gostam muito,               porque seus pais proíbem a criança .
Até a adolescência essa proibição está certa, mas depois disso por que essa regra?
Se pais podem dar               "beijinhos" nos filhos, porque eles não podem dar  em pessoas que estão gostando?
Esse é um fato muito comum entre várias famílias que não têm segurança em relação a seu               "filhinho" , mas se a educação dele for boa, por que toda essa preocupação sem sentido?
Portanto, se estiver seguro de si mesmo e gostar muito de alguém que te  peça um beijo, um selinho  , não recuse, pois se você explicar tudo direito a seus pais eles irão entender a razão disso, mas é claro, não beije todos que pedirem, pois existem pessoas que são más intencionadas.
Responsáveis, jamais proíba  seus filhos, já adolescentes, de dar beijos e selinhos  , porque se você os educou  bem, eles saberão quem podem ou não namorar e beijar.</t>
  </si>
  <si>
    <t>Hoje em dia, a questão do selinho e algo muito falado na sociedade.
Muitas pessoas discutem se esse tipo de beijo, que e na boca mas sem lingua, e algo bom ou ruim.
Essa prática gera muita polemica, especialmente em familias e entre amigos.
Algumas pessoas acham que e so carinho, outras ja pensam que nao e bem assim, levantando duvidas sobre seu real significado e intenção.
E importante considerar que o selinho pode ser apenas uma simples demostração de afeto.
Por exemplo, pais e filhos frequentemente se beija na boca, e um jeito de mostrar que se gostam, que tem um laço afetivo.
Isso nao tem nada a ver com algo de cunho sexual, e sim com amor.
Em nossa cultura, as vezes, as pessoas são bastante conservadoras e acabam por enxergar maldade onde muitas vezes não existe.
E so um beijo inocente, para mostra amor e carinho, sem malicia alguma, como e feito em outras culturas por ai.
Porem, tem gente que enxerga o selinho de uma forma diferente.
Eles pensam que, por ser na boca, ja tem um significado mais 'adulto', um apelo sexual velado.
Isso e ainda mais complicado se ocorre entre adultos e crianças.
Essa situação pode confundir a cabeça dos mais jovens, que nao entendem direito o que significa.
Entao, talvez nao seja tão inocente assim, pois a sociedade impõe visoes e acaba que um gesto simples se torna algo complicado, gerando duvidas em relação ao que e certo ou errado e se e apropriado.
Diante disso tudo, e preciso que as pessoas reflitam sobre o selinho.
E importante que cada um veja o que e melhor para sua familia e para seu convivio social, considerando os diversos pontos de vista.
E preciso ter mais dialogo e respeito entre todos.
Assim, as pessoas podem decidir se o selinho e bom ou não, se e uma pratica saudavel ou se deve ser evitada.
O governo poderia fazer campanhas de conscientização, educando a população sobre os riscos e os beneficios, mas sem proibir, so informando de forma clara para que cada um tire suas proprias conclusões.</t>
  </si>
  <si>
    <t>Gemini_Aval_48</t>
  </si>
  <si>
    <t>Há quem diga que o "selinho" significa mais do que um modo de expressar afeto, outros dizem que o "selinho" é o estopim para algo grandioso .
O jeito  que cada pessoa encara um relacionamento e expressa seus sentimentos - desde que haja bom senso - diz respeito somente a ela, não cabe a terceiros julgar se é certo ou não a maneira com que duas pessoas se cumprimentam e vivem suas vidas.
Porém, recentemente, o tão famoso "selinho" ganhou destaque e virou alvo de críticas.
O "selinho" se tornou algo comum entre pessoas que se gostam, seja com ou sem intenção sexual e virou mania, entre os jovens principalmente.
O que mais chama atenção é que o "selinho" não se restringe apenas ao contato entre homem e mulher.
É           algo considerado normal amigas se cumprimentarem com o  "selinho" ,  já entre os homens essa situação é mais difícil de ver  .
Entre os mais liberais, essa atitude em nada interfere na condição sexual de cada um e também defendem a idéia de que não existe maldade em um simples cumprimento .
Já algumas pessoas são contrárias à idéia  de que o "selinho" é apenas uma demonstração de afeto, para essas pessoas  , o "selinho" exprime sim intenção sexual .
Se há ou não intenção sexual , é impossível detectar somente com um "selinho".
Cada um encara esse tipo de atitude  de modo diferente.
A liberdade que cada pessoa encontra em um relacionamento é             algo particular e deve ser dosada racionalmente para o bem-estar da relação.
Para evitar qualquer tipo de situação incômoda provocada por algum tipo de comportamento, deve haver respeito tanto com pessoas próximas quanto com desconhecidos.
O modo com que se demonstra afeto não deve ganhar mais destaque do que a verdadeira intenção de cada relação.</t>
  </si>
  <si>
    <t>Hoje em dia, a questão do selinho é algo que as pessoas fala muito.
É um beijo, mais que pode ter vários significados, e isso é complicado de entender.
As pessoas se beijam na boca e pensão que é só um carinho, mais nem sempre é assim.
A sociedade está muito confuza com essas coisas.
Muitas vezes, o selinho é só uma forma de demonstrar afeto, como entre pais e filhos.
É um carinho que não tem nada de sexual, é só amor.
As família fazem isso para mostrar que se gostão, e não tem problema nenhum nisso.
É uma coisa normal, que acontece em várias cultura, e não deve ser julgado de forma errada.
É importante que as pessoas entendam que nem todo beijo na boca é sexual.
Por outro lado, o selinho pode ser sim algo sexual, e isso é preocupante.
Principalmente quando acontece entre pessoas que não deveria ter esse tipo de contato.
As crianças podem ficar confuzas com isso, e os adulto também.
É um perigo para a sociedade, porque os valores estão se perdendo.
As pessoas precisa ter mais cuidado com o que fazem, porque as atitude tem consequências.
Não da pra sair beijando todo mundo de qualquer jeito e achar que não tem problema.
Em conclusão, o selinho é um tema complexo que gera muita discução.
É dificil dizer se é inocente ou sexual, pois depende do contexto e das pessoas envolvidas.
Para resolver esse problema, é preciso que as pessoas pensem mais antes de agir.
É importante que a sociedade reflita sobre os seus costume e que o governo faça algo para educar as pessoas.
Assim, talvez, o selinho seja melhor entendido e não cause tantos problemas no futuro.
É preciso um diálogo maior na sociedade.</t>
  </si>
  <si>
    <t>Gemini_Aval_49</t>
  </si>
  <si>
    <t>A juventude brasileira, em nossos dias atuais, parece que se mobiliza muito.
Esse movimento, que abrange várias coisa e se mostra nas ruas ou na internet, é um fenômeno que sempre ocorreu, mas agora é mais visível.
Eles fazem isso por causa de um monte de motivo, que são difícil de entender por completo.
É uma situação complexa que envolve a sociedade e os próprios jovem, que estão sempre em busca de algo novo ou melhor.
Uma das causa principal para que os jovem se mobilize é a facilidade que a internet trás.
Com as rede sociais e os aplicativos de mensagem, é muito mais fácil para eles se organizar.
Se tem uma injustiça ou um problema que eles não gosta, eles logo divulgam e chamam todo mundo pra participar.
Isso faz com que a mobilização seje rápida e alcance muita gente, o que antes era impensável.
A tecnologia, portanto, é a força motriz que impulsiona esses movimentos, para o bem ou para o mal.
No passado, por exemplo, os estudantes lutava contra a ditadura.
Era uma época diferente, com problemas diferente.
Hoje, não tem mais ditadura, mas os problema continua existindo.
As vezes, eles protestam por causa de coisa pequena, tipo a polícia na universidade, ou até mesmo por causa de fumar maconha, que levou a prisões.
Isso mostra que as pauta mudou, e que os jovem de hoje tem outra visão do mundo.
A sociedade, em geral, tem que entender que cada geração tem seus propios desafios e suas batalhas.
Concluindo, os jovens se mobilizam por uma série de fatores, tanto interno quanto externo.
Para que esse cenário melhore, o governo federal devia criar mais programas educativos e culturais que valorize a participação dos jovem.
As famílias e as escola também precisa fazer sua parte, ensinando sobre respeito e tolerância.
Só assim, talvez, os jovens parem de se mobilizar tanto e a sociedade possa viver em paz, sem tanto tumulto nas ruas e nas notícias, porque a paz é o que todos queremos no fim das contas.</t>
  </si>
  <si>
    <t>Movimentos sociais não são se não,  interesses comuns entre várias pessoas gritando por mudança, exigindo-a de quem tem o poder para          movimentar o círculo da história social.
Revolução cubana, apartheid, diretas já, queremismo, caras pintadas...
O que leva os amotinados de pessoas a saírem nas  ruas é uma revolta gritante dentro da sociedade, uma irritabilidade com          um fator social que não muda, são choques de princípios sociais.
Revoltas essas que foram necessárias, de vital importância para a democracia.
Protestos têm de serem  bem escolhidos, os motivos têm de serem  revoltantes, claros,          objetivados e aprovados por muitos.
Um fator notável que podemos perceber em nossa conjuntura é que o que não provoca prejuízo ao governo ou não aumenta seu montante, geralmente não são apoiados por ele.
Os protestos feitos na USP foram de  motivos nada convincentes e, mais, a primeira forma de revolta foi a agressão.
Era de se esperar que estudantes de uma renomada universidade tivessem atitudes diferentes e argumentos mais convincentes do que os apresentados.
Segundo          dado , ninguém saiu ferido com a chegada da polícia; os jovens imaginaram uma luta que apenas segue a imagem de líderes, mas não estão preparados para serem líderes.
Esses últimos dez anos apresentam para o Brasil uma distância enorme do que é uma mobilização por direitos e mudanças.
Revoltas sabem fazer, não sabem é escolher.
Os jovens têm o poder de uma teia de informação que se comunica com várias outras pessoas ao mesmo tempo : a tecnologia.
Infelizmente, o que vemos hoje é que os protestos não são dos mais bem proveitosos, seguindo os conceitos  citados a cima  Vivemos uma atualidade que a própria ditadura não conseguiu fazer: produzir uma sociedade alienada, que não sabe por quais direitos lutarem  .
Os movimentos de mudança  devem ser encorajados, pois são em suma          o que muda a sociedade e luta contra o que não querem.
O que deve ser analisado é uma sensação de uma imposição que muitas vezes não existe , existe sim uma discriminação escondida por parte do governo e muitos outros fatores que dever ser mudados, mas acreditar numa falsa ditadura e lutar por ela é pura ignorância.
Que haja um foco a ser seguido, um caminho certo a ser traçado, viva não apenas a liberdade de expressão, mas a expressão focada, bem verbalizada e liderada.</t>
  </si>
  <si>
    <t>Gemini_Aval_50</t>
  </si>
  <si>
    <t>O aborto é um assunto muito falado e que gera muita polêmica na sociedade.
Há muitos anos, as nações discutem se ele deve ou não ser legalizado, e as pessoas tem opiniões bem diferente sobre isso.
E' um tema que envolve muita coisa.
Uma parte da sociedade acredita que legalizar o aborto seria bom para as mulher.
Porque, hoje em dia, muitas mulher que não quer ter o bebe, acaba fazendo o procedimento em clinicas clandestinas.
Nestes locais, não tem higiene e nem médico direito, e as mulher pode morrer ou ficar muito doente depois.
Essa situação e' um grave problema de saude publica, a terceira causa de morte entre as mulher em idade fértil.
Então, se fosse legalizado, elas podia fazer o aborto de forma segura, em hospitais e com acompanhamento.
No entanto, outra parte da população não concorda com a legalização do aborto.
Para essas pessoas, o feto, mesmo no começo da gravidez, já e' uma vida.
E tirar uma vida, para eles, é algo errado e vai contra a moral e a religião.
Eles tem medo que, se o aborto for legal, as pessoas vão usar ele como um jeito fácil de não ter filho, como se fosse um método de controle de natalidade, e assim banalizar a pratica.
Isso não e' bom para ninguém.
É evidente que o tema do aborto envolve muitas questões complexas, como éticas, morais e até religiosas.
Não é fácil chegar a um consenso, pois existem muitos ponto de vista diferente.
Cada um tem suas razões para achar que o aborto deve ou não ser legalizado, e e' preciso respeito para todos os lado.
O debate continua.</t>
  </si>
  <si>
    <t>As heranças econômicas provindas de países desenvolvidos foram demasiadas, contudo, o parâmetro voltado para as relações culturais enquadram-se entre as mais avassaladoras, pois fora palco de interesses imperialistas.
Atualmente, milhares de questões são discutidas, tendo como referências dados estatísticos de países como os Estados Unidos.
Entre elas merece atenção especial, a questão da legalização do aborto.
Canadá, Europa e EUA são exemplos de países que legalizaram o aborto.
São, porém, altamente desenvolvidos, pois investem, estrategicamente, consideráveis quantias monetárias em educação, ciência e tecnologia.
Em contraste, o Brasil gera milhões de verbas desviadas aos hospitais públicos por ano, grande número de enfermeiros são encarregados na realização de cirurgias; Luiz Inácio Lula da Silva reduziu 62% dos investimentos em educação, no último FSM realizado em Belém.
Economicamente, o Brasil enquadra-se em um país instável .
Não é difícil de concluir que as conseqüências da legalização seriam similares às da Espanha e Cuba, onde o aborto tornou-se sinônimo de métodos contraceptivos e a taxa de mortalidade aumentou.
Curiosamente, médicos americanos estão ensinando nossos profissionais ao método da curetagem; ONGs feministas e relacionadas à saúde pública brasileira estão ganhando força, financiadas em maior parte pelos EUA.
Medidas ideológicas, visando acelerar nosso posicionamento em favor da legalização .
Logo, legalizar o aborto é, antes de tudo, contribuir com o imperialismo internacional, interessado em garantir o nosso controle demográfico, a fim de promover maior estabilidade política, em favor da segurança de empresas multinacionais, principalmente as mineradoras.
Estão interessados na nossa Amazônia, na nossa incapacidade de pensar, provocando a redução da nossa nação e obstrução de valores morais, que estão sendo doutrinados para apoiar a inviabilidade da vida em favor de um direito falso da mulher e da saúde pública .
O Brasil, país cuja colocação fora a penúltima, em uma prova que avaliava a capacidade de interpretar coisas implícitas , comprova a sua deficiência quando defende a legalização do aborto.</t>
  </si>
  <si>
    <t>Gemini_Aval_51</t>
  </si>
  <si>
    <t>Com o passar do tempo é inegável a tendência de que o individuo acumule experiência de vida, e com isso tenha uma maturidade maior para procurar decisões acertadas para suas escolhas         , levando em consideração aquilo que já tenham vivenciado, ficaria claro que seria irrefutável que esta  pessoa quanto mais velha, melhor         se tornaria nas questões de relacionamento inter-pessoais sobre tudo amorosas, mas não é o que acontece pois existem fatores importantes que controlam a maturidade, entre elas  a personalidade, intensidade, os traumas emocionais         e etc A diferença de idade entre casais é um tema bastante discutido e criticado, pois coloca em contexto aquilo que a sociedade julga como certo, e que aos olhos dos mais conservadores evidencia-se comosendoum caso absurdo , mas que apenas prova que a maturidade não se ganha apenas com o tempo de vida e sim com as condições impostas ao individuo com o passar dos anos.
Alem disso o verdadeiro termômetro para o bom relacionamento entre homens e mulheres não é a idade e sim a personalidade de ambos, que vai permitir ou não um bom entendimento entre eles, a partir do momento que             aja sentimento verdadeiro             , e doação de si ao parceiro, não importa idade, o resultado será um relacionamento sólido e confiável.
Concluindo, é correto dizer que a maturidade não se conquista ao longo dos anos, mais sim com a intensidade dos fatos ocorridos na vida dos indivíduos e os torna mais preparados para tomar decisões sobre o que é ou não é bom para sua vida, é certo               disser também que a falta de flexibilidade da sociedade evidencia a hipocrisia e inveja da maioria de seus membros inseridos , já que colocam como maiores defeitos suas maiores vontades.</t>
  </si>
  <si>
    <t>No intrincado tecido das relações humanas, o amor que transcende as barreiras etárias emerge como um fenômeno de recorrente interesse, suscitando debates e preconceitos na contemporaneidade.
Historicamente, uniões com expressiva disparidade de idade foram instrumentalizadas por conveniências políticas ou econômicas, enquanto, hodiernamente, são frequentemente alvo de escrutínio público e julgamentos morais.
Nesse contexto, questiona-se a funcionalidade de tais laços.
Este ensaio argumenta que, embora a sociedade tenda a estigmatizar essas relações, a sua viabilidade não reside na mera diferença cronológica, mas sim na maturidade emocional dos envolvidos e na prevalência de dinâmicas de respeito mútuo, despidas de qualquer forma de submissão ou exploração.
Primordialmente, a percepção social acerca dos relacionamentos com grande hiato etário é intrinsecamente moldada por constructos históricos e culturais.
Desde a Antiguidade, como exemplificado pela união entre Júlio César e Cleópatra, ou pelas uniões monárquicas arranjadas, a disparidade de idade foi uma constante, por vezes justificada por alianças estratégicas e, em outras, por genuínas paixões.
Contudo, na modernidade líquida de Zygmunt Bauman, onde as relações tendem à efemeridade e à individualização, o olhar público sobre casais com considerável diferença de idade frequentemente se reveste de desconfiança, atribuindo-lhes motivações espúrias, como a busca por segurança financeira ou a satisfação de fetiches, em detrimento do afeto autêntico.
Essa estigmatização, muitas vezes, reflete um conservadorismo arraigado que resiste à pluralidade das formas de amar.
Outrossim, a real sustentabilidade de um relacionamento com diferença etária significativa depende crucialmente dos pilares da maturidade psicológica e do respeito irrestrito entre os parceiros.
Conforme pontuado por pensadores da ética, como Immanuel Kant, a dignidade humana impõe que todo indivíduo seja tratado como um fim em si mesmo, e nunca meramente como um meio.
Assim, se uma das partes busca na outra a figura de um pai ou mãe, ou se a relação se estabelece em bases de submissão ou posse, em vez de liberdade e consideração às individualidades, a disparidade etária pode exacerbar desequilíbrios de poder preexistentes.
A funcionalidade, portanto, reside na capacidade de ambos os indivíduos cultivarem uma parceria equânime, onde o crescimento pessoal e a autonomia de cada um sejam incentivados, refutando a premissa de que a idade por si só determina a validade de um vínculo amoroso.
Infere-se, dessarte, que a longevidade e a felicidade em relações com grande diferença de idade não são intrinsecamente inviabilizadas pela cronologia, mas sim pela ausência de elementos essenciais para qualquer vínculo saudável.
Para mitigar o preconceito e fomentar a compreensão social, urge que o Ministério da Educação (MEC), em colaboração com veículos de comunicação e organizações da sociedade civil, promova campanhas educativas e debates públicos abrangentes.
Tais iniciativas devem utilizar plataformas digitais, documentários e programas de televisão para desmistificar estigmas e fomentar a compreensão de que o respeito mútuo, a autonomia individual e o consentimento consciente são os pilares de qualquer união saudável.
O objetivo é, assim, edificar uma sociedade mais plural, onde o amor possa florescer em suas diversas manifestações, livre de julgamentos superficiais e pautado pela dignidade humana.</t>
  </si>
  <si>
    <t>Gemini_Aval_52</t>
  </si>
  <si>
    <t>A crescente sensação de insegurança e a escalada da criminalidade em diversas regiões do Brasil evidenciam um cenário alarmante, no qual a sociedade parece, de fato, sucumbir à violência.
A complexidade do fenômeno criminoso, que transcende a mera atuação policial, impõe um questionamento acerca da efetividade das estratégias de combate e prevenção.
Nesse contexto, a tese de que a sociedade está perdendo a batalha contra o crime encontra respaldo na ineficácia das políticas estatais de segurança pública e na persistência das profundas disparidades socioeconômicas que fomentam a marginalização.
Primordialmente, a falha do Estado em exercer plenamente seu papel de garantidor da ordem e da proteção cidadã configura um dos pilares dessa derrota.
Conforme o pensamento de Thomas Hobbes em "Leviatã", a prerrogativa estatal de deter o monopólio da violência legítima visa a assegurar a paz social, evitando o "estado de natureza".
Contudo, a realidade brasileira demonstra uma fragilidade institucional, onde a atuação da segurança pública é, muitas vezes, reativa e desarticulada, incapaz de conter o avanço de organizações criminosas que desafiam a autoridade estatal.
A proliferação de conflitos armados e a alta taxa de homicídios, especialmente em grandes centros urbanos, são sintomas inequívocos da erosão da capacidade coercitiva do Estado.
Ademais, a perpetuação de acentuadas desigualdades sociais serve como um terreno fértil para a proliferação da criminalidade.
A exclusão socioeconômica, analisada por Zygmunt Bauman em sua teoria da "modernidade líquida" como um processo de individualização perversa, expõe parcelas significativas da população à vulnerabilidade e à ausência de perspectivas.
Sem acesso digno à educação, saúde, moradia e oportunidades de trabalho, muitos indivíduos, particularmente jovens, são aliciados por grupos criminosos, que oferecem uma ilusória sensação de pertencimento e poder.
Essa dinâmica cria um ciclo vicioso, onde a pobreza estrutural retroalimenta a violência, desafiando qualquer tentativa superficial de pacificação.
Urge, portanto, que o Estado brasileiro, em colaboração com a sociedade civil, atue de forma contundente e multifacetada para reverter o cenário de crescente criminalidade.
Para tanto, o Ministério da Justiça e Segurança Pública, em parceria com o Ministério da Educação e o Ministério do Desenvolvimento Social, deve implementar um programa nacional integrado de segurança e inclusão social.
Tal iniciativa se concretizaria através de investimentos robustos em inteligência policial, capacitação contínua de agentes e, concomitantemente, fomento a projetos educacionais e de qualificação profissional em comunidades vulneráveis.
O objetivo é não apenas promover a repressão qualificada do crime, mas também erradicar suas raízes socioeconômicas, visando à construção de uma cultura de paz e oportunidade.</t>
  </si>
  <si>
    <t>Nos últimos meses temos assistido nos noticiários os  diversos ataques de facções criminosas no estado de São Paulo.
Essa disputa envolveu policiais, bandidos e cidadãos inocentes.
Tudo isso se deve ao fato do Brasil possuir         uma constituição rígida e as leis que vigoram atualmente estarem ultrapassadas.
Além disso, a superlotação e a falta de segurança nos presídios tornam a impunidade uma constante.
Desse modo, para que a criminalidade diminua é preciso que haja uma mudança no código penal a fim de que crimes hediondos sejam punidos com maior severidade.
Atualmente, vigora no Congresso um projeto de lei que viabiliza essa alteração, e um dos motivos principais são o s homicídios praticados por jovens infratores que acabam ficando impunes por serem menores de dezoito anos.
É importante também destacar que a superlotação nas cadeias contribui para que o crime organizado se desenvolva dentro delas.
Inúmeras são as vítimas de extorsão pelos criminosos detidos.
Apesar de tanta insegurança, há ainda o fato de vários presidiários receberem o benefício de indulto de natal, ano novo, etc.
Assim, ao invés de retornarem para uma cadeia repleta de problemas preferem continuar na sociedade sem pagar pelo que cometeram.
Com isso, percebe-se que para conter os crimes é preciso que haja uma ação mais eficaz do poder público em adotar leis que tenham sua eficiência comprovada, além de fiscalizá-las.
Ainda assim, cabe ao governo investir na infraestrutura dos presídios aumentando a segurança e o espaço físico.
Somente através desses fatores é que a violência será amenizada e os infratores punidos como merecem.</t>
  </si>
  <si>
    <t>Gemini_Aval_53</t>
  </si>
  <si>
    <t>A gravidez na adolescência configura-se como um complexo desafio social que transcende barreiras econômicas e culturais, lançando jovens e suas famílias em uma crise multifacetada.
Longe de ser um mero acaso biológico, esse fenômeno reflete lacunas em diversas esferas, desde a educação sexual até a estrutura de apoio familiar e comunitário.
As consequências de uma gestação precoce reverberam por toda a vida dos envolvidos, comprometendo projetos pessoais e profissionais e perpetuando ciclos de vulnerabilidade.
Dessa forma, é imperativo analisar as causas e impactos dessa realidade, bem como as possíveis estratégias para mitigar seus efeitos deletérios.
Um dos aspectos mais marcantes da gravidez precoce é o seu forte vínculo com a interrupção de trajetórias educacionais e o aprofundamento da exclusão social.
Muitas adolescentes que engravidam veem-se obrigadas a abandonar os estudos para dedicar-se à maternidade, o que limita drasticamente suas chances de qualificação profissional e inserção no mercado de trabalho.
Essa evasão escolar, por sua vez, contribuem para a perpetuação da pobreza, uma vez que a falta de capacitação impede a conquista de empregos com remuneração adequada, criando um ciclo vicioso de dependência e dificuldades financeiras.
Além disso, a ausência do pai da criança, uma realidade comum, sobrecarrega ainda mais a jovem mãe, que muitas vezes não possue o apoio necessário para conciliar os cuidados com o bebê e a busca por autonomia.
Ademais, a gravidez na adolescência impõe severos traumas psicossociais aos jovens envolvidos, afetando suas relações interpessoais e seu desenvolvimento emocional.
A descoberta de uma gestação não planejada, muitas vezes, gera conflitos familiares intensos, com pais que reagem com desaprovação ou até mesmo com a expulsão da filha de casa.
Tal situação, além de agravar a vulnerabilidade da adolescente, pode força uniões precoces e instáveis, onde o amor é substituído pela obrigação e a imaturidade dos parceiros inviabiliza a construção de um relacionamento saudável e duradouro.
A sobrecarga emocional de criar um filho sem estrutura emocional e financeira adequada, somada ao preconceito social é capaz de desencadear quadros de ansiedade e depressão, comprometendo o bem-estar mental dos jovens pais.
Diante do exposto, torna-se evidente a urgência de medidas que visem à prevenção e ao suporte à gravidez na adolescência.
Para tanto, é fundamental que o Ministério da Saúde, em parceria com o Ministério da Educação, promova campanhas de conscientização mais eficazes sobre sexualidade responsável e acesso facilitado a métodos contraceptivos, sem tabus ou moralismos, para que a situação não seje ainda pior.
Adicionalmente, é crucial fortalecer os programas de apoio psicossocial às jovens mães e pais, oferecendo acompanhamento psicológico e orientação para a continuidade dos estudos e a inserção no mercado de trabalho.
Somente por meio de um esforço conjunto da sociedade e do Estado poderemos romper o ciclo de vulnerabilidade e garantir um futuro mais digno para esses jovens.</t>
  </si>
  <si>
    <t>A gravidez na Adolescência têm crescido gradativamente .
Apesar da propaganda alertar para as causas e os meios de preservação, os jovens preferem ignorar todos os conhecimentos adquiridos anteriormente, conhecimentos obtidos muitas vezes por meio da publicidade, ao se relacionarem sexualmente.Mesmo na era tecnológica, o sexo ainda é tabu em muitas famílias tradicionais.
As novelas, panfletárias, isto é, que escolhem temas tão comums, porém ao mesmo tempo tão abstratos para os mais pobres .
Ainda assim as DSTs e a gravidez indesejada muitas vezes fazem parte desse contexto, onde as novelas e propagandas alertam todos os dias para os riscos do sexo sem camisinha.Os postos de saúde dão anticoncepcionais e preservativos, mas os jovens não vão buscá-los.
Talvez por vergonha.
Ou por descuido.
Depois de grávida, a garota perde muitos "benefícios" em relação à antes.
Pára de estudar por causa da vergonha, os pais ficam preocupados, ainda mais se forem de família mais humilde, ou até perdem o apoio da família.
Sem falar daquelas garotas que, depois de conceberem, inda contraem DST.O mundo acaba para elas.
Sem conhecimento e sem ir ao médico apelam para a internet e automedicação.
Os abortos clandestinos também são a saída para muitas delas.
Se elas soubessem que podem nunca mais terem filhos, talvez elas não fariam.
Depois do procedimento, que é feito em lugares sem estrutura e sujos, elas normalmente se arrependem.
Mas já é tarde demais.
No entanto, é importante lembrar que as meninas que ficam grávidas são maioria na periferia, mas isso não quer dizer que não existam casos na parte nobre da cidade.
Aliás, frequëntemente as filhas dos milionários passam um tempo no Exterior para abortarem nas clínicas caríssimas.
A conscientização é o meio mais prático, porém as Autoridades responsáveis pelo país consideram apenas o fato de que darem gratuitamente preservativos nos postos de saúde e nos hospitais já é eficaz.
Concluindo, enquanto apenas o meios de comunicação fizerem parte da conscientização, somente no Carnaval quando o governo acredita que há mais doenças contraídas por sexo e gravidez, o Brasil não acabará com os índices altíssimos de gravidez e DSTs.</t>
  </si>
  <si>
    <t>Gemini_Aval_54</t>
  </si>
  <si>
    <t>O horário político obrigatório, veiculado em rede nacional de rádio e televisão, é um tema de constante debate na sociedade brasileira.
Embora concebido para democratizar o acesso à informação sobre candidatos e propostas, a sua eficácia e o real benefício para a população são frequentemente questionados.
Este mecanismo, garantido por lei, gera opiniões divergentes sobre sua real utilidade e a quem de fato ele serve.
Por um lado, defensores da medida argumentam que o horário eleitoral gratuito é fundamental para a consolidação da democracia.
Ele permite que candidatos menos conhecidos ou com poucos recursos financeiros tenham uma plataforma para apresentar suas ideias, competindo em condições mais equitativas com figuras já estabelecidas.
Além disso, para uma parcela significativa da população que não possui outros meios de acesso à informação política, a televisão e o rádio continuam sendo as principais fontes, tornando esse tempo essencial para o conhecimento dos pleiteantes ao cargo.
Contudo, a obrigatoriedade da veiculação e o formato atual do horário político despertam severas críticas.
Muitos cidadãos sentem-se compelidos a assistir a uma programação que muitas vezes consideram superficial, marcada por jingles e promessas genéricas, sem aprofundamento nas questões relevantes.
O curto período de tempo destinado a cada candidato, somado a uma distribuição que pode parecer desproporcional, dificulta o conhecimento aprofundado das propostas e do perfil dos concorrentes, levando a uma escolha menos consciente.
Ademais, o custo indireto para os cofres públicos, decorrente da compensação tributária às emissoras, é um ponto de discórdia.
Diante desse cenário complexo, é evidente que o horário político obrigatório possui tanto um potencial democrático quanto falhas significativas em sua execução.
Para que ele se torne verdadeiramente benéfico à população, é mister que o Tribunal Superior Eleitoral (TSE) revise as regras de veiculação.
Seria importante incentivar mais debates temáticos entre os candidatos, bem como limitar o tempo destinado a inserções meramente propagandísticas, priorizando a exposição de planos de governo concretos.
Assim, os eleitores teriam informações mais relevantes para exercer seu direito ao voto de forma plena.</t>
  </si>
  <si>
    <t>Em ano de eleição é comum, além das obras de última hora, o contestado "horário político gratuito" exposto na televisão como forma dos candidatos apresentarem suas propostas de governo, na tentativa de induzir os votos dos expectadores,  muitas vezes até com falsas promessas.
Esse recurso utilizado pelos candidatos,  é          obrigatório, gratuito e garantido pela lei brasileira, para que os próprios  sejam vistos e ouvidos pelos eleitores.
Mas o quanto isso          é benéfico para a população?
Um argumento utilizado é a constatação de que é necessário para o povo ter o conhecimento de todos os candidatos e suas respectivas propostas, para, assim, analisarem e definirem seus votos.
Entretanto, o horário não é tão gratuito assim, as emissoras de televisão recebem uma boa quantia para reservarem esse horário aos candidatos, quantia essa, que não saem  do dinheiro arrecado pelas campanhas políticas, mas sim dos cofres públicos.
Já não bastando a grande quantidade de desvio de verba pública, uma parte dessa verba é utilizada como pagamento a emissoras.
O horário político de pouco  ajuda o eleitorado a escolher em quem votar, pois é preciso tempo para conhecer os candidatos e seus históricos políticos, portanto, não será uma apresentação de alguns minutos que influenciará o voto do eleitor.
Além do mais, não são todos que têm tempo de assistir a  programação e os que tem  muitas vezes desligam a TV ou rádio, cansados de tanta bobagem, pois são muitos os políticos que levam suas propagandas na brincadeira.
Com as informações citadas é notório que o horário político gratuito não pode continuar como está, ele precisa ser extinguido ou ao menos ter grandes transformações, transformações essas, como o seu pagamento, que deve ser efetuado  com dinheiro dos partidos políticos e não pelos cofres públicos, outra forma de melhorar, é trocar  as apresentações de propostas por um debate, assim alguns políticos levaram  o horário com mais seriedade, podendo tornar um meio  muito mais informativo.</t>
  </si>
  <si>
    <t>Gemini_Aval_55</t>
  </si>
  <si>
    <t>A busca incessante pelo corpo perfeito, alimentada por ideais de beleza que remontam à Antiguidade, tornou-se uma disposição contemporânea.
Em um mundo cada vez mais conectado e influenciado pela mídia a forma física ideal não é apenas um desejo, mas um objeto de consumo, levantando questionamentos sobre os limites éticos e os riscos envolvidos nessa procura.
A mídia e as redes sociais exercem um papel crucial na construção e perpetuação de padrões estéticos muitas vezes inatingíveis.
Celebridades e influenciadores digitais exibem corpos "moldados", criando uma pressão social para que indivíduos busquem à perfeição a qualquer custo.
Isso impulsiona um mercado vasto de produtos e procedimentos, desde dietas milagrosas e suplementos até cirurgias estéticas e tratamentos invasivos, transformando a anatomia em mercadoria e alimentando o consumismo desenfreado.
Contudo, essa corrida por uma imagem ideal implica em sérios riscos à saúde física e mental.
Muitos indivíduos, na ânsia de alcançar o corpo perfeito rapidamente, recorrem a métodos duvidosos, substâncias químicas perigosas e profissionais sem qualificação adequada.
Os relatos de complicações, como infecções, rejeições e até mesmo óbitos, são frequentes na imprensa, evidenciando que a busca por uma estética padronizada pode ter consequencia irreversíveis e trágicas, minimizando a importância da saúde em detrimento da aparência.
Diante desse cenário preocupante, é fundamental que a sociedade e o Estado promovam uma reflexão crítica sobre os padrões de beleza impostos e os perigos do consumismo estético.
Campanhas de conscientização sobre os riscos de procedimentos invasivos e a valorização da saúde integral, em vez da mera aparência, são essenciais.
Além disso, uma fiscalização mais rigorosa sobre clínicas e produtos ofertados pode contribuir para proteger a população dos perigos inerentes a essa busca cega por um corpo inatingível.</t>
  </si>
  <si>
    <t>Nos dias atuais a busca pelo corpo perfeito, o consumismo e a beleza considerada "padrão" andam lado a lado  tendo como grandes artistas o espelho do corpo escultural que a mídia faz questão em  transmitir a todo momento, os vestidos caros, as dietas exóticas e entre outros.
Jovens e adolescentes são os maiores influenciados pelo consumismo com tantos medicamentos de fácil acesso que promete o emagrecimento em dias sem esforços, suplementos, cirurgias e algumas outras substancias injetáveis sem nenhuma orientação de um profissional e qualquer preocupação com a saúde e os riscos dos efeitos colaterais.
A mídia tem uma grande parcela nisso tudo levando  todos a  corrida da boa forma alienando a sociedade que quanto mais você consumir  terá o padrão de beleza impostos pelo os mesmo  .
Portanto  os órgãos competentes devem criar leis para que a venda e a compra desses remédios sejam fiscalizados, os jovens sejam conscientizados através de palestras em escola do risco que a busca do corpo perfeito podem  gerar e entender que cada corpo tem o seu limite.</t>
  </si>
  <si>
    <t>Gemini_Aval_56</t>
  </si>
  <si>
    <t>No Brasil, o voto é um dever de todo cidadão, e isso é muito importante pra sociedade.
As eleições sempre acontece e a gente precisa escolher alguém pra governar o país.
Muitas pessoas fica em dúvida se votar nulo é bom ou não, e essa questão causa muita discussão entri as pessoas, gerando um debate sem fim sobre o verdadeiro sentido de ir as urnas e exercer a cidadania, que é tão falada por aí, mas nem sempre compreendida.
O voto nulo, pra alguns, é tipo um protesto, sabe.
Eles não gostam de nenhum candidato e aí anulam pra mostra que estão insatisfeito com a política toda, com os esquemas e com a falta de opções de verdade.
É uma forma de dizer que 'nenhum me representa', um grito de socorro, mas isso não muda nada na prática, porque o voto nulo não elege ninguém e não faz diferença no resultado final das eleições, que segue seu curso normal.
É só um jeito de reclamar sem muito efeito, sem alterar o sistema, e a política continua do mesmo jeito, com os mesmos problemas de sempre.
A democracia é muito importante para o país, e sem ela, a gente não tem liberdade de escolher.
Por isso, votar é fundamental, mesmo que seja difícil e que os candidatos não sejam perfeitos.
As pessoas precisam se concientizar da importância de ir as urnas e escolher alguém, mesmo que não seja a melhor opção do mundo.
O voto nulo só mostra que a pessoa não quer participar de verdade, tipo se esconder do problema, e isso não ajuda em nada o país a crescer e a se desenvolver.
A participação é a chave para o futuro.
Então, pra resolver essa questão do voto nulo e o que ele significa, é preciso que as pessoas pensem melhor e se informem, procurando entender o cenário político.
O governo poderia fazer alguma coisa para melhorar a política e os candidatos, talvez com mais transparência e menos corrupção, assim ninguém precisaria anular o voto.
É importante que todos façam sua parte pra ter um país melhor, com mais participação e menos dúvidas sobre o voto, garantindo um futuro mais promissor para todos os brasileiros, onde o voto tenha um significado claro e não gere mais essas confusões.</t>
  </si>
  <si>
    <t>Desconfiança, medo e desonestidade são alguns dos aspectos  que levam alguns eleitores a tomar a atitude de anular seu voto.
Este  ato talvez não mude os resultados mais  ameniza o “peso” na conciência de quem irá votar.
Não há opções  só desepicões  , votar em quem?
O voto nulo é o única meio para protestar contra a obrigação de votar, em um país dito de direito como nosso onde seu art.1 revela, não deveria impor ao povo votar, já que estamos vivendo uma "democracia"  não seria necessário          .
A sociedade tem que escolher melhor seus representantes, ou a forma das eleições deveriam ser mais rígidas para os candidatos , pois  o que se ver  é algo contrário  as pessoas são persuadidas com coisas futéil  , dando vazão para um qualquer decidir o futuro de uma nação que precisa de muito mais que palavras e promessas.
Anular o voto também é exercer a cidadania e ainda mais, uma forma valente de não deixar-se  levar por discursos bem elaborados que não surtem nenhum efeito,          após a posse do cadidato, por sua vez não vale muito, pois são poucos ainda que conhece  um modo de não compactuar com os corruptos que corronpem  a humanidade com palavras ênfaticas  .
Enquanto votar for obrigação averá nulos, a única  saída é a transparência  tanto dos candidatos  quanto do povo eliminar a venda de sua vontade .
Obrigrar  não resolve, aliás, acabou o período de regime ditatorial para começar  uma democracia, está  mudança tem que começar nas urnas.</t>
  </si>
  <si>
    <t>Gemini_Aval_57</t>
  </si>
  <si>
    <t>A controvérsia acerca da publicação de biografias não autorizadas, que opõe o direito à privacidade de figuras públicas à liberdade de expressão dos biógrafos, tem sido um tema de efervescente debate na esfera jurídica e cultural brasileira.
A discussão, que ganhou proeminência com a mobilização de artistas e a subsequente intervenção do Supremo Tribunal Federal, revela um complexo embate entre garantias constitucionais.
Nesse cenário, o presente texto defende que, embora a proteção da intimidade seja imperativa, a primazia da liberdade de informação e o direito autoral do biógrafo são pilares fundamentais para a construção de uma memória histórica crítica e plural, desde que observados os limites da calúnia e difamação.
Em primeiro plano, é crucial reconhecer a liberdade de expressão como um dos alicerces de qualquer sociedade democrática.
Conforme preconizado pelo filósofo John Stuart Mill em "Sobre a Liberdade", o livre intercâmbio de ideias, mesmo aquelas consideradas impopulares ou controversas, é essencial para o progresso intelectual e moral da humanidade.
A censura prévia à publicação de uma biografia, sob a alegação de resguardar a intimidade do biografado, configura um entrave a essa liberdade, impedindo a análise crítica de trajetórias que, por serem de figuras públicas, já se inserem no domínio do interesse coletivo.
Desse modo, cercear a produção biográfica autônoma é silenciar vozes e perspectivas que contribuem para a compreensão multifacetada da história.
Ademais, a reivindicação do direito autoral por parte do biógrafo, conforme o trabalho intelectual empreendido, é igualmente pertinente.
O ato de pesquisar, selecionar, interpretar e narrar fatos da vida de um indivíduo demanda um esforço criativo e investigativo que se materializa na obra final, conferindo-lhe a titularidade sobre o texto produzido.
A exigência de concordância do biografado ou a partilha de eventuais lucros, como sugerido por alguns grupos, descaracteriza o trabalho autoral e impõe uma forma de "censura velada", comprometendo a credibilidade e a independência da narrativa.
Tal postura contraria o princípio de que a obra é fruto do labor de seu criador, transformando o biógrafo em mero escriba de uma versão "oficial" e, portanto, potencialmente enviesada.
Diante do exposto, torna-se imperativo que o Estado brasileiro, por meio do Supremo Tribunal Federal e do Congresso Nacional, reavalie as normativas que regulam a publicação de biografias.
Para tanto, o STF deve reinterpretar os Artigos 20 e 21 do Código Civil, por meio de audiências públicas e pareceres jurídicos que ponderem exaustivamente a liberdade de expressão e o direito à intimidade, a fim de que se estabeleça um arcabouço legal que priorize a livre circulação de informações e a produção intelectual autônoma.
Essa medida visa a garantir que a história e a cultura sejam enriquecidas por múltiplas narrativas, ao passo que eventuais abusos sejam punidos via reparação posterior, e não por censura prévia, protegendo a dignidade humana sem tolher o conhecimento.</t>
  </si>
  <si>
    <t>Reivindicando privacidade, artistas encontram-se presentes em debates no Supremo Tribunal Federal, retratando sua insatisfação perante a publicação de biografias não autorizadas.
O controle de exposição de informações, de acordo com os ''personagens'' , é um dos fatores que merecem destaque .
As biografias que hoje circulam no mercado podem ser reconhecidas  por alguns artistas como indiscretas          em relação a estes.
Envolvendo invasão no poder de resguardar informações pessoais do retratado, sem uma autorização prévia, a obra pode tornar-se inapropriada de acordo com o objeto de seu tema .
Outro fator relaciona aspectos financeiros: o biografado envolve-se na busca pelo direito à parte da rentabilidade do produto.
Verifica-se a necessidade de tal direito, desde que o personagem é tema e fonte de atração do mesmo.
Analisado  as situações, é visível  que o autor da obra encontra-se violando o direito do artista de não expor certas informações pessoais publicamente e aproveitando-se de sua imagem para gerar lucro.
Seria importante que este possuísse a autorização do biografado          para evitar maiores transtornos .</t>
  </si>
  <si>
    <t>Gemini_Aval_58</t>
  </si>
  <si>
    <t>A impresa  tem um grande papel perante a sociedade, tem a função de informar sobre fatos recentes, entreter, fornecer conhecimentos de maneiras mais rápidas, fiscalizar os governantes.
Com isso  a liberdade de impressa  é fundamental,         no         Brasil a imprensa tem liberdade de cobrar  do poder um governo justo e alertar a sociedade dos golpes descobertos.
Antes da invenção da imprensa, as noticias  demoravam para chegar, hoje o que aconteceu de importante pode ser visto quase que instantaneamente pelos espectadores .
Um terremoto no Haiti, no Chile, no México é apresentado a  sociedade naquela hora,           ao contrario  do que aconteceria antes dos meios de comunicação.
Para que seu papel seja exercido com responsabilidade é preciso existir o equilíbrio  , não se pode criticar um governo só porque é contra este.
A tranparência  é um fator importante na impresa  , os fatos tem  que ser averiguados e confirmados, uma noticia  sobre o poder público não pode ser publicada  com base em suposição, sendo que fato mal interpretado             pode causar movimentações indesejadas .
A defamação  e as calunias  não fazem parte do jonalismo  , os meios de comunicação devem possuir responsabilidade ao divulgar determinadas noticias  , mostrar fatos reais, tem  um dever com a sociedade e cabe a ela  a responsabilidade de divulgar as informações.
Outro fator importante é a renovação dos fatos que acontecem, fatos repetidos e antigos não interessam ao público .
Noticias  é o que não faltam no mundo moderno, todos os dias são mais e mais fatores ocorrendo no mundo todo, e é o papel da imprensa divulgar, mantendo a sociedade informada.
A liberdade de imprensa foi uma conquista adquirida no Brasil só no fim do século XX, com o fim da ditatura  , portanto todos têm direito de ficarem                 informados tanto sobre o poder que governa o país, quanto sobre fatores naturais, sendo dever da televisão, do radio  , da internet, dos jornais e revistas divulgar os acontecimentos.
Os meios de comunicação trazem informações de modo mais rápido e eficaz para a sociedade, podendo assim expandir seus conhecimentos sobre assuntos gerais,                 que são de grande importância tanto para o atual e quanto para o futuro profissional .</t>
  </si>
  <si>
    <t>No mundo de hoje, a comunicação é uma coisa muito importante para todo mundo, tipo assim, as pessoas precisam se comunicar sempre para saber das coisas que estão acontecendo.
A imprensa, ela é um jeito de fazer essa comunicação ser mais fácil e chegar em mais gente, mas nem todo mundo entende bem o que ela faz de verdade, e isso é um problema que a gente vê por aí.
A imprensa, então, tem um papel muito importante, ela tem que mostrar o que tá acontecendo na sociedade, tipo os fatos, sabe?
Ela mostra as notícias para a gente, e isso é bom para todo mundo ficar sabendo de tudo, se não tivesse a imprensa, as pessoas não saberia das notícias, e isso seria muito ruim para a sociedade toda, que ficaria sem informação e sem saber o que fazer.
É uma coisa que faz a gente parar para pensar sobre o mundo e suas coisas.
As vezes, a imprensa também tem que falar das coisas que não são tão boas, tipo corrupção e esses problemas com os políticos, porque se não falar, as pessoas não vai saber que tem um problema sério acontecendo.
E numa sociedade democrática, que é onde a gente vive e escolhe nossos representantes, é importante que todo mundo saiba de tudo para poder decidir melhor.
Mas tem gente que acha que a imprensa só fala mal e só mostra o lado ruim, e isso é um problema que precisa ser resolvido para que a gente confie mais no que é dito.
Para resolver isso, a imprensa deveria ser mais equilibrada, sabe?
Falar das coisas boas e das coisas ruins, para todo mundo ter uma visão completa dos fatos e não só um pedaço.
O governo podia ajudar nisso, fazendo campanhas de conscientização para a população entender melhor o jornalismo e não achar que é tudo manipulação.
Assim, a democracia seria mais forte e as pessoas ficariam mais informadas de verdade sobre o que acontece no país, tendo mais certeza do que acreditar e do que não.
É importante que todos façam sua parte.</t>
  </si>
  <si>
    <t>Gemini_Aval_59</t>
  </si>
  <si>
    <t>Palavras acentuadas indevidamente ou falta de acentuação das mesmas, cacografias, erros de concordância tornaram-se habituais tanto na escrita quanto na fala.
Esquecem-se ou até mesmo não aprendem-se as regras da Gramática.
Para alguns, estas facilitam e são elementos básicos da organização de qualquer forma de comunicação escrita ou oral, para outros tornam-se inflexíveis e amedrontadoras.
"Concerta-se roupas".
"Faça seu óculos aqui".
" Vende-se kits compreto".
"Catigoria".
"Rodoaza Tranporti"."Almário".
Quem nunca leu ou já escutou algumas destas frases?.
É hilariante e ao mesmo constrangedor depararmo-nos com tais atrocidades e, isto, se tornou banal vermos em placas de prestação de serviços, ouvirmos em bordões de tele-novelas e filmes, vermos em sites de relacionamento, etc.
Parece até que a nossa velha e aliada Gramática está se tornando um tanto arcáica, que o correto , é escrever "erado" e o que importa mesmo é o sentido que não faz sentido algum.
Uma das causas de erros como os citados no início do segundo parágrafo, é a educação básica deficiente e quanto alguns professores amedrontam seus alunos, fazendo de regras verdadeiros "bichos-papões" e tornando-as inflexíveis ao entendimento dos mesmos.
Cresce-se falando e escrevendo incorretamente, as consequências serão sentidas em alguma fase da vida.
Acarretará problemas como falta de credibilidade, diferente dos adeptos do ato de escrever que seguem regras fixadas e que não terão maiores problemas.
Sob meu ponto de vista, não me detendo de preconceito, adquire-se maior crédito e nos comunicamos melhor seguindo corretamente as regras da Gramática , afinal, alguém confiaria num advogado que falasse, "sou adevogado", ou um médico que escrevesse, " a gravides é de auto risco".
Penso que estes nem mesmo tem domínio da lingua falada e escrita, quiçá exercer suas devidas profissões.</t>
  </si>
  <si>
    <t>A linguagem, em sua essência, constitui o pilar fundamental da interação humana, permitindo a transmissão de ideias, sentimentos e conhecimentos.
Nesse contexto, a gramática surge como um conjunto de regras que buscam organizar e uniformizar a língua, com o propósito aparente de facilitar a comunicação.
Contudo, a questão se a gramática efetivamente facilita ou, ao contrário, dificulta esse processo é um dilema que perpassa o debate linguístico e social.
Embora a norma culta seja indispensável para a padronização e a clareza em contextos formais, sua complexidade intrínseca e seu caráter por vezes elitista podem erigir barreiras significativas para a plena expressão de diversos indivíduos.
Primordialmente, a gramática normativa desempenha um papel crucial na garantia da inteligibilidade mútua e na coesão social.
Conforme os postulados de Ferdinand de Saussure, a língua é um sistema de signos arbitrários que só funciona plenamente quando há um código compartilhado entre os falantes.
As regras gramaticais, nesse sentido, atuam como esse código unificador, permitindo que mensagens sejam codificadas e decodificadas com precisão, especialmente em âmbitos formais e institucionais.
A ausência de uma padronização mínima levaria ao caos comunicativo, fragmentando a capacidade de entendimento entre diferentes grupos e, consequentemente, dificultando a construção de uma identidade nacional linguística.
Assim, a gramática é um instrumento vital para a manutenção da ordem e da clareza na expressão.
Entretanto, a rigidez e a complexidade da gramática podem, paradoxalmente, transformar-se em um obstáculo significativo à comunicação e à inclusão social.
O sociólogo Pierre Bourdieu discorre sobre a noção de "violência simbólica", na qual a imposição de uma norma culta como única forma legítima de expressão pode marginalizar aqueles que não detêm o capital cultural necessário para dominá-la plenamente.
O excessivo apego a minúcias ortográficas ou sintáticas, muitas vezes descolado da realidade da língua viva e de suas variantes regionais e sociais, pode inibir a expressão espontânea e gerar insegurança nos falantes.
Desse modo, a gramática, ao invés de ser um meio, torna-se um fim em si mesma, dificultando a fluidez comunicativa e perpetuando desigualdades.
Em suma, é inequívoco que a gramática representa um elemento paradoxal na dinâmica comunicativa.
Para mitigar os desafios impostos por sua rigidez e promover uma comunicação mais inclusiva e eficaz, é imperativo que o Ministério da Educação (MEC), em colaboração com linguistas e pedagogos, reformule os currículos escolares.
Essa ação deve focar no ensino da gramática de forma mais contextualizada e funcional, valorizando as diferentes variantes linguísticas e desmistificando a ideia de "erro" absoluto, a fim de que os estudantes compreendam a função social da norma culta sem se sentirem tolhidos em sua expressão.
Tal medida garantirá que a gramática seja percebida como uma ferramenta de empoderamento e não como uma barreira intransponível, fomentando uma comunicação mais fluida e democrática para toda a sociedade.</t>
  </si>
  <si>
    <t>Gemini_Aval_60</t>
  </si>
  <si>
    <t>O excesso de exibição física acarretou uma grande avalanche de revoltas dos alunos da universidade tais como: machismo, intolerância e a má educação.
A forma de expressar do ser humano, tanto física ou  mental, causa uma série de ações favoráveis ou contrárias que são apresentadas pelas  algumas pessoas.
No caso da mulher na maneira em que se veste, a certo tipo de roupa, traz honestidade ou lascívia para ela, causando opiniões divididas ou até mesmo machismo por alguns homens através de cantadas.
O nível de sensualidade que apresenta em um singelo pano decotado, traz a intolerância e o ciúme de algumas mulheres, acarretando discriminação e revoltas.
Assim, basta saber usar em certos tipos de ambientes e locais apropriados.
O fenômeno que ocorreu no Brasil o caso da aluna "Geisy de Arruda que foi com vestido curto na universidade", a falta de educação ocorreu nos dois aspectos no caso da aluna e dos alunos: ela não foi bem sucedida no seu vestuário e eles por comportarem como animais no campo de vez a conselha-lá  .
O fato de sentir-se bem mostrando a sensualidade não é aceitável por algumas pessoas que traz  intolerância, má-educação, machismo e discriminação social.
Portanto, vivemos em um país livre, sem interferência nos costumes particulares das pessoas, não podemos jogar pedra na vontade do outro, quem nunca errou joga  a primeira pedra.</t>
  </si>
  <si>
    <t>Em 2009, o Brasil foi palco de um episódio que reverberou intensamente na mídia e na sociedade: o caso Geisy Arruda.
A estudante de uma universidade paulista foi alvo de hostilidade massiva e humilhação pública por usar um minivestido, exigindo escolta policial para sua segurança.
Tal evento, que à primeira vista poderia ser reduzido a uma mera questão de vestimenta, na verdade, revelou as profundas fissuras de uma sociedade marcada pelo machismo estrutural e pela intolerância, além de uma problemática má-educação que confunde adequação com moralismo e espetaculariza o julgamento.
Assim, a discussão sobre a vestimenta feminina obscureceu a violência coletiva, expondo a persistente culpabilização da vítima e a falha em promover o respeito à diversidade e à autonomia individual.
Em primeiro plano, a reação desmedida e violenta que Geisy Arruda enfrentou ilustra a persistência de uma mentalidade machista profundamente enraizada na sociedade brasileira.
A hostilidade massiva, que culminou em sua expulsão inicial da instituição de ensino sob a alegação de "trajes inadequados", reflete a lógica patriarcal que, historicamente, busca controlar o corpo e a autonomia feminina.
Conforme teorizado por Simone de Beauvoir em "O Segundo Sexo", a mulher é frequentemente construída como "o Outro", um objeto de escrutínio e regulação social, cujas escolhas, especialmente as que desafiam normas implícitas, são prontamente moralizadas e punidas.
Nesse contexto, a discussão sobre a moralidade da vestimenta obscureceu a gravidade da violência coletiva, transferindo a responsabilidade do agressor para a suposta "provocação" da vítima.
Ademais, para além do machismo estrutural, o caso Geisy Arruda expôs a fragilidade da tolerância e a prevalência de uma má-educação cívica na sociedade brasileira.
A turba que a agrediu verbalmente e a instituição que a expulsou agiram sob uma lógica de controle e normalização, conforme analisado por Michel Foucault em "Vigiar e Punir", onde os "desvios" são prontamente identificados e punidos para reafirmar as normas estabelecidas.
A espetacularização midiática, que transformou a estudante em celebridade, paradoxalmente, contribuiu para desviar o foco da gravidade da agressão e da intolerância, priorizando o sensacionalismo.
A dificuldade em dialogar e em respeitar a alteridade, somada à confusão entre decência e repressão da individualidade, revela uma deficiência educacional que impede a construção de um ambiente verdadeiramente plural e respeitoso.
Portanto, o episódio envolvendo Geisy Arruda transcendeu a mera discussão sobre vestimenta, consolidando-se como um emblemático retrato da persistência do machismo e da intolerância em nossa sociedade.
Para mitigar tais problemas, o Ministério da Educação (MEC), em colaboração com as instituições de ensino superior, deve implementar programas de educação socioemocional e cívica.
Isso seria feito por meio de palestras, workshops e campanhas de conscientização contínuas, com o fito de fomentar o respeito à diversidade, à autonomia individual e o combate à misoginia.
Tais iniciativas devem detalhar a ética do cuidado, desconstruir estereótipos de gênero e enfatizar a importância do diálogo não violento, preparando os estudantes para uma convivência verdadeiramente plural e democrática.</t>
  </si>
  <si>
    <t>Flash_Aval_01</t>
  </si>
  <si>
    <t>A maconha é um assunto que divide muitas opiniões no Brasil.
Uns acham que deve ser proibida, outros que deve ser legalizada e alguns que deve ser descriminalizada.
Essa discussão é importante para o nosso país pensar em como lidar com essa droga.
A proibição é a forma que a gente tem hoje, mas não sei se resolve muito o problema do tráfico.
Muita gente pensa que se a gente legalizar a maconha, o tráfico vai diminuir, porque o governo vai controlar tudo.
Isso parece uma ideia boa, pois o dinheiro que hoje vai para os bandidos, poderia ir para o governo e ser usado em coisas boas para a sociedade, como saúde e educação.
A gente vê outros países que legalizaram e parece que deu certo pra eles, mas não sei se aqui seria igual.
Além disso, alguns defendem que descriminalizar seria melhor, para que as pessoas que usam maconha não sejam tratadas como criminosas, mas como pessoas com um problema de saúde que precisa de atenção.
Isso faria com que menos gente fosse presa por causa da maconha e o foco da polícia pudesse ser em crimes mais graves.
Mas tem gente que fala que a maconha é porta de entrada para outras drogas mais pesadas, e que se a gente liberar, vai ser pior.
Eles dizem que a proibição é importante para proteger os jovens e a sociedade desses perigos.
É um dilema complicado, pois não se sabe qual caminho é o melhor para o Brasil.
A gente precisa estudar mais e ver o que realmente funciona antes de tomar uma decisão grande sobre esse tema.</t>
  </si>
  <si>
    <t>Muito têm  se falado na  questão de legalizar ou não a maconha.
Muitos defendem e outros são contra, sobre a  legalização da considerada "droga leve", que teria          várias finalidades , exemplos de uso próprio e para fins médicos  .
A legalização só trará problemas para a sociedade.
Realmente, muito se sabem de  benefícios do uso da maconha, que foi constatada sua eficiência de cura total ou parcial de várias doenças, sendo esse o coro feito por médicos a respeito que seja liberada.
Mas não podemos esquecer que no caso da legalização a população já usuária só se beneficiaria, tendo em vista que não será mais proibido o consumo e consequentemente o uso aumentaria em grande proporção e ocasionaria um fluxo enorme de "maconheiros" nas cidades, colocando em perigo os não usuários, devido que o usuário só trás  medo para o restante da população.
Portanto, a lei de legalização da maconha não deve ser aprovada, visando o combate ao tráfico já existente.
E que os já usuários podem ter oportunidade de largar esse vício, já que não é fácil, tendo em vista os problemas que a maconha oferece.</t>
  </si>
  <si>
    <t>Flash_Aval_02</t>
  </si>
  <si>
    <t>As eleições são o maior símbolo da democracia neste país.
É através do voto que decidimos o futuro da nação e elegemos seus candidatos  por um mandato de quatro anos.
Porém, algumas figuras inusitadas têm chamado a atenção nessas últimas  eleições.
Candidatos como: Tiririca, Mulher Pêra, Mulher Melão, são alguns desses exemplos.
Protesto, piada ou democracia?
O que leva o eleitor a votar e, em alguns casos, até mesmo eleger esses candidatos?
Quem não se lembra do Macaco Tião, um chimpanzé que vivia no Zoológico do Rio de Janeiro, que nos anos 80 foi o terceiro candidato mais votado (nessa época o voto era feito através de cédulas, hoje com o uso da urna eletrônica não é possível votar em um candidato que não esteja registrado no TRE) .
Segundo alguns especialistas em ciência política, essa é uma forma da população expressar a sua indignação e revolta com os políticos que hoje estão no poder, seja no plenário, na câmara ou na assembléia.
É como se o eleitor dissesse: "Todos vocês são uns palhaços, então votemos logo nos palhaços!".
Um bom exemplo disso foi a eleição do comediante Tiririca, pelo PR-SP, como deputado mais bem votado do país.
O "abestado", como é conhecido, alcançou cerca de 1.300.000 votos.
Em sua campanha eleitoral Tiririca apresentava o seguinte slogan: "Vote no Tiririca, pior que tá não fica!".
Essa frase provocou desconforto em alguns colegas de bancada de Tiririca, mas isso não impediu o cearense de ser eleito.
O eleitor já está tão desacreditado de que seu voto possa, de fato, mudar alguma coisa que já faz disso um protesto ou meramente uma piada de mau gosto, não fazendo jus ao seu direito de cidadão.
Exercer a cidadania também é votar com consciência, é trazer às urnas a voz que fica calada durante quatro anos, exigindo mais educação, saúde, segurança, é antes de mais nada fazer seu papel de cidadão.
Um aspecto que é característico do povo brasileiro é culpar seus governantes por seus problemas do dia a dia sem se dar conta de que é ele, o povo, quem os elege.</t>
  </si>
  <si>
    <t>Votar em palhaço é uma forma válida de protestar, pois o povo ta cansado de politico ruim.
Ai eles votam em palhaço pra mostrar que não gosta dos outros.
Isso é um protesto politico.
A gente vê isso em todo lugar, muita gente vota em gente engraçada pra eleger.
É como o Tiririca que foi eleito, ele falava que ia ajudar e todo mundo achou engraçado votar nele.
Ele não sabia nada de politica mas o povo votou.
Isso mostra que o povo não quer mais saber de politico que mente.
Eles querem novidade.
Acho que votar em palhaço é uma coisa boa pra eleger gente nova.
O palhaço representa o povo que não é politico.
A democracia permite isso.
A lei não pode impedir isso.
Se o povo quer votar em palhaço, deixa votar.
É o jeito deles de protestar.
Isso faz o pais melhorar porque os politicos ficam com medo.
Eles sabem que podem ser eleitos.
A piada acaba quando o palhaço vira politico de verdade.
Mas antes disso é engraçado.
Tem que ter mais palhaço na politica.
A intervenção seria mais palhaço se elegendo.
É bom para o pais.</t>
  </si>
  <si>
    <t>Flash_Aval_03</t>
  </si>
  <si>
    <t>A implementação de cotas em universidades federais no Brasil tem sido um tema de grande debate, dividindo opiniões sobre sua eficácia como solução para desigualdades históricas ou como um problema que pode gerar novas injustiças.
Por um lado, a política visa democratizar o acesso ao ensino superior, que historicamente foi dominado por estudantes de escolas particulares, muitas vezes com melhores condições de preparo.
A intenção é oferecer uma oportunidade mais equitativa para aqueles que vêm de contextos socioeconômicos desfavorecidos e que sofreram com a exclusão educacional.
Acredita-se que essa medida possa, a longo prazo, reduzir a disparidade social e racial no país, permitindo que grupos historicamente marginalizados tenham maior representatividade em ambientes acadêmicos de excelência.
Contudo, críticos argumentam que o sistema de cotas, apesar de suas boas intenções, pode acabar por enfraquecer a meritocracia e a qualidade do ensino superior.
A seleção baseada em critérios raciais ou socioeconômicos, segundo essa perspectiva, desconsidera a capacidade individual e o esforço do estudante, podendo levar à admissão de alunos menos preparados para acompanhar o rigor acadêmico.
Essa abordagem, para alguns, não resolve a raiz do problema, que seria a má qualidade do ensino básico e fundamental nas escolas públicas, e pode gerar ressentimento entre aqueles que não se beneficiam do sistema, mas que também possuem mérito.
Outro ponto levantado é a dificuldade em definir critérios justos e eficazes para a aplicação das cotas.
A divisão percentual entre diferentes grupos, como estudantes de baixa renda e negros/pardos/indígenas, nem sempre reflete a complexidade da realidade social brasileira e pode gerar novas formas de segregação ou de litígio.
Além disso, a manutenção de um sistema de cotas permanente pode desincentivar investimentos na melhoria da educação básica, que deveria ser o foco principal para garantir a igualdade de oportunidades desde o início da formação educacional.
Diante desse cenário complexo, é fundamental que o governo federal, juntamente com as instituições de ensino, promova ações que visem não apenas a manutenção das cotas, mas também a melhoria substancial da qualidade do ensino público em todos os níveis.
Investir em infraestrutura, formação de professores e em programas de nivelamento para alunos ingressantes pode ser um caminho para garantir que as cotas cumpram seu papel de inclusão sem comprometer a excelência acadêmica.
É preciso que haja um acompanhamento contínuo e avaliações periódicas do impacto das cotas, ajustando a política conforme necessário para que ela sirva verdadeiramente como um instrumento de justiça social e não como um problema a mais.</t>
  </si>
  <si>
    <t>O Brasil tem a sua educação desvalorizada, há poucos investimentos; as escolas públicas do país não tem  a infraestrutura necessária, portanto as cotas para a entrada de alunos na educação superior devem acabar.
O ensino do país é extremamente precário, a educação não é levada a sério, segundo o censo do IDEB 16% dos jovens frequentam as escolas e desse percentual 14% estão na região Sudeste, ou seja, a maioria dos adolescentes não estuda, para  resolver esse problema, nada melhor do que aprovar a lei das cotas para           ?tapear o buraco?
da educação esdrúxula do território brasileiro.
A qualidade da educação está fortemente ligada ao nível de formação dos professores, se estes frequentaram a mesma escola que os jovens de hoje, certamente a sua base foi a das piores; para haver a melhora do ensino se faz necessário que os docentes sejam bem remunerados e que a sua instrução seja excelente e que estes possam mudar vidas através do conhecimento.
Todos os indivíduos são iguais, não é a cor da pele ou a formação cultural de uma pessoa que à  torna melhor do que as outras; a inteligência não se dá por isso.
A entrada de alunos menos favorecidos nas universidades não ausenta o pobre ensino que tiveram, não é assim que se resolve o problema.
À medida que a educação seja igual para todos, cada um ingressará na faculdade por seu próprio mérito.
Uma forma de resolver a situação é o estado privatizar todas as escolas e fazer o investimento correto, assim todos receberam  um ensino de qualidade                 e a nação avançará, porque o principal desenvolvimento de um país é a educação.</t>
  </si>
  <si>
    <t>Flash_Aval_04</t>
  </si>
  <si>
    <t>O selinho é uma coisa que as pessoas fazem pra mostrar carinho, tipo beijar na boca mas sem ser nada demais.
Tem gente que acha que isso é normal e outras que acham que é erotico demais, principalmente quando é os pais que fazem com os filhos.
Antigamente isso era mais comum e ninguém ligava, mas agora tudo é mais complicado e as pessoas julgam mais.
É dificil saber se é certo ou errado porque cada um pensa de um jeito diferente.
As vezes um simples gesto pode ser mal interpretado pelas pessoas que estão vendo.
É uma coisa que causa muita polemica e discussao na sociedade.
É preciso pensar bem antes de fazer ou julgar.
A gente tem que ter cuidado com o que faz pra não arrumar problema com a lei.
A sociedade tá muito chata com essas coisas.
O beijo pode ter varios significados.
Por isso, é importante que as pessoas se comuniquem melhor.
O governo podia fazer alguma coisa pra explicar melhor isso pras pessoas.
Talvez campanhas na tv.
Mas acho que nem assim resolve.
É complicado de resolver esse problema.</t>
  </si>
  <si>
    <t>A  várias formas das  pessoas próximas, expressar  o quanto gostam uma das outras, e algumas de forma carinhosa dão um selinho .
O beijo em que duas pessoas encostam os lábios é conhecido como selinho , e normalmente é usado entre namorados, porém alguns pais dão selinhos nos seus filhos, esses são os casos, onde normalmente ocorre esse tipo de beijo.
a sociedade parece ser estranho o caso de um homem de uns quarenta anos dar um selinho numa menina de onze anos, por exemplo, pois ai  algumas pessoas já ficaram   perguntando se  esta pessoa é pai dela mesmo, ou se esta  abusando da menina.
Essas situações podem a vir acabar  na delegacia, afinal se uma pessoa denunciar, ou a autoridade policial presenciar vai ter que verificar, por que se tal menina não for a filha do imputado, este  terá de responder na justiça.
O que   caba  gerando grande constrangimento para as partes envolvidas.
Para evitar constrangimentos  , a prática de selinho em público, e em menores, deveria ser evitada , para que não venha a trazer constrangimento para as partes envolvidas.</t>
  </si>
  <si>
    <t>Flash_Aval_05</t>
  </si>
  <si>
    <t>Por infelicidade, um indivíduo que gozava de perfeita saúde contrai uma doença ou sofre um acidente e vê sua vida mudar radicalmente, pois será privado de praticamente tudo o que fazia anteriormente e que de agora em diante tudo que resta é esperar pela morte e enxergar diariamente a evolução da doença e os tristes efeitos que esta trás.
Sem dúvidas é um imenso sofrimento não só para o doente como para todos os que estão ao seu redor  familia, amigos e até para os  próprios profissionais da saúde que estão envolvidos e nada podem fazer para minimizar o sofrimento de todos.
Mediante a tanto  sofrimento, surge então a  hipótese que  talvez a eutanásia seria  a melhor opção para todos, principalmente para o doente morrer  que ficar em uma cama sem vida ativa ou até mesmo inconsciente.
Porém, partindo de princípios éticos, morais e até mesmo legais, nenhum indivíduo tem o direito de privar o outro da vida e nem mesmo o próprio indivíduo tem o direito de suicidar  , portanto independente dos motivos, a eutanásia é uma forma de colocar um fim a  vida e é considerado crime.
Os indivíduos devem agir em conformidade com a lei, respeitando o  direito natural, que é o direito a  vida, e o  direito positivo, que          considera homicídio privilegiado crime e se aplica  devida sanção.
obviamente também se deve levar em conta o quanto todos sofrem com essa situação,          porém em todos os casos os princípios da vida devem se sobressair, considerando que independente de estágio,  doença, a vida não deve ser interrompida propositalmente.
Aceitar a eutanásia é considerar comum o detrimento de uma vida é  tomar uma decisão que não cabe ao ser humano, independente de crenças, dogmas entre outros.
Portanto nenhum indivíduo tem o direito de decidir a hora de interromper uma vida.
Deve-se dar o devido apoio ao doente e sua família, procurando minimizar  as dores e o sofrimento, acolhendo-os e amparando-os em cada fase da doença essa  é a forma mais prudente de agir perante a doença, respeitando a vida, as leis e fazendo o que é competência humana  amparar, apoiar, auxiliar e não pôr o fim em uma vida.</t>
  </si>
  <si>
    <t>A eutanásia, prática que consiste em abreviar a vida de um paciente com sofrimento insuportável, é um tema complexo e de intensa discussão na sociedade contemporânea.
Embora a Constituição Federal garanta o direito à vida, a autonomia do indivíduo sobre seu próprio corpo e destino, especialmente em situações de dor extrema e sem perspectiva de cura, levanta questionamentos éticos e morais profundos.
O debate se intensifica quando consideramos casos em que a pessoa não pode mais expressar sua vontade, colocando em jogo a decisão familiar ou médica.
A busca por uma "boa morte", como a etimologia grega sugere, se choca com a visão tradicional de que a vida é inviolável, gerando impasses em diversas jurisdições.
Um dos principais argumentos a favor da legalização da eutanásia reside no princípio da dignidade humana e na autonomia individual.
Pacientes acometidos por doenças incuráveis e em estágio terminal frequentemente experimentam sofrimentos físicos e psicológicos avassaladores, sem qualquer esperança de melhora.
Permitir que essas pessoas escolham o momento e a forma de encerrar suas vidas, com acompanhamento médico e sem dor, seria uma forma de respeitar sua vontade e aliviar o padecimento.
A experiência de países como Holanda e Bélgica, onde a prática é legalizada sob rigorosas condições, demonstra que é possível gerenciar esse processo de forma humanizada, garantindo que a decisão seja livre e informada, um alívio para quem sofre exageradamente.
Por outro lado, a oposição à eutanásia frequentemente se baseia em preceitos religiosos e na proteção legal da vida, vista como um bem supremo e inalienável.
O Código Penal Brasileiro, por exemplo, tipifica atos que se assemelham à eutanásia como homicídio ou auxílio ao suicídio, com penas severas.
A preocupação central é evitar abusos e garantir que a decisão de morrer não seja imposta por pressões externas, familiares ou financeiras, ou mesmo por um juízo médico equivocado.
A proibição, nesse sentido, visa proteger os mais vulneráveis e defender o juramento médico de preservar a vida, mesmo diante de quadros clínicos desfavoráveis.
Diante desse cenário, é fundamental que a sociedade brasileira debata amplamente a questão, buscando um equilíbrio entre a autonomia do paciente, a proteção à vida e a dignidade humana.
Para lidar com essa complexidade, é necessário que o Ministério da Saúde, em conjunto com órgãos éticos e legislativos, promova campanhas educativas sobre cuidados paliativos e direitos dos pacientes.
Além disso, deve-se discutir a criação de diretrizes claras e seguras para casos de recusa de tratamento e diretivas antecipadas de vontade, permitindo que a vontade do paciente seja respeitada em situações de incapacidade de expressá-la, sem que isso configure crime para os profissionais de saúde.</t>
  </si>
  <si>
    <t>Flash_Aval_06</t>
  </si>
  <si>
    <t>A copa do mundo foi um evento muito grande pro brasil, e tem gente que fala que vai ser bom, outros não.
Eu acho que vai depender do que fizerem depois.
Porque se não fizer nada, ai não adianta nada ter gastado tanto dinheiro.
Muita gente falava que ia ser bom pra economia, que ia gerar emprego e tal, mas isso não sei se é verdade.
Porque o dinheiro que gastaram podia ter ido pra fazer hospital e escola que é mais importante pra gente.
Não adianta ter estadio bonito se o povo tá doente e sem estudo.
As manifestaçoes que aconteceram foram por causa da copa, isso mostra que o povo tá querendo coisa melhor.
Talvez isso ajude o governo a pensar no que o povo quer de verdade, que é melhoria na vida, e não só futebol.
Mas isso é uma coisa que pode ou não acontecer.
No final das contas, o legado vai ser o que o governo e as pessoas fizerem com o que sobrou.
Se arrumarem a cidade, se melhorarem o transporte, ai pode ser que seja bom.
Se não, vai ser só mais um evento que gastou dinheiro e não deixou nada de bom pra ninguém.</t>
  </si>
  <si>
    <t>Observa-se uma repercussão promissora quanto as  melhorias que a Copa de 2014 trará ao Brasil;          discussões e debates retratam os benefícios futuramente gerados.
As manifestações existentes dos questionamentos à  recursos financeiros, para estruturação da Copa e indagações sobre gastos desnecessários, também pode-se  perpetuar como legados deixados por esse evento.
A Copa do mundo no Brasil, será  um evento notório, apesar das  contradições relegarem um gerenciamento ruim, em construções de estádios, aeroportos e estruturas rodoviárias.
Entretanto, trará uma geração de momentos  que ficarão para a história brasileira;          as torcidas proeminentes serão relembradas pelos meios de comunicação.
Esses fatos não deixam de constituírem-se  legados e marcos importantes.
Temos os questionamentos e manifestações, sobre o destino que os recursos financeiros são enviados às federações vigentes e, porque não necessariamente envolver setores como educação e saúde.
Por conseguinte, faz-se nesse meio um desenvolvimento mas crítico e recíproco entre cidadãos; configurando nesse contexto, uma ação plausível para toda uma história.
Os legados deixados, podem  ser de          origem social, político e econômicos  .
O Brasil será alvo de muita atenção internacional          que, observarão e aprenderão sobre a cultura e culinário  do país          .
As escolas, em parte, podem criar artigos educacionais para reflexões desses  acontecimentos antecedentes e posteriores a Copa.
Aproveitando para educar pedagogicamente uma mente estudantil mas sociológica para próximas gerações.</t>
  </si>
  <si>
    <t>Flash_Aval_07</t>
  </si>
  <si>
    <t>Recentemente uma adolescente após ser vítima de um estupro, descobriu que estava grávida.
Depois de muito pensar ela decidiu fazer um aborto.
Neste caso, o ocorrido fazia parte da ficção, era apenas um personagem da novela Chamas da Vida.
Mas isso ocorre muitas vezes na realidade.
O aborto para muitos é considerado um pecado, porque estaria acabando com uma vida e indo contra um dos mandamentos da lei de Deus.
Para outras pessoas ele é feito por vários motivos: como uma gravidez de risco, estupro ou até mesmo porque a gravidez não é desejada.
Muitos países já legalizaram o aborto.
Mas no nosso país o aborto é ilegal , o que faz com que muitas mulheres procurem interromper esta gravidez de modo nada seguro.
Muitas procuram clínicas clandestinas ou até mesmo em casa colocando              em risco a própria vida e ás vezes impedindo-as de uma gravidez futura.
O certo é que muitas vezes um aborto deixa sequelas físicas e emocionais.
Por isso temos o direito de decidir , mas também devemos estar cientes que somos responsáveis pelas consequências dos nossos atos, sejam elas boas ou más.</t>
  </si>
  <si>
    <t>O aborto é um assunto que divide muita gente, e a questão principal é se ele deve ser legalizado ou não.
Muitas pessoas acham que não deve ser liberado porque é errado tirar uma vida, mesmo que não esteja formada ainda.
Outros pensam que a mulher tem o direito de escolher o que fazer com seu corpo, e se ela não quer ter o filho, não deve ser forçada.
Essa discussão envolve muitas opiniões diferentes e não é fácil chegar a um consenso sobre o assunto que é debatido há muito tempo.
Por um lado, a legalização poderia ajudar a evitar mortes de mulheres que fazem abortos escondidos e sem segurança, o que é um grande problema de saúde pública em alguns lugares.
Quando o aborto é proibido, muitas mulheres acabam recorrendo a métodos perigosos que podem levar a sérias complicações ou até a morte.
A ideia é que, se fosse legal, seria feito em hospitais com médicos, tornando tudo mais seguro para elas, o que é uma preocupação importante.
Por outro lado, há quem diga que legalizar o aborto pode fazer com que ele seja visto como algo normal, como um jeito fácil de resolver problemas, e isso não seria bom.
As pessoas que pensam assim acreditam que a vida começa bem cedo e que mesmo um feto tem direito a viver, e que a sociedade deveria apoiar mais as mulheres grávidas.
Eles acham que a lei deve proteger quem ainda não nasceu, e que a decisão de ter um filho é muito séria.
Em resumo, a legalização do aborto traz vantagens e desvantagens.
Se por um lado pode salvar vidas de mulheres e melhorar a saúde pública, por outro levanta questões morais e éticas sobre o início da vida e a responsabilidade.
É preciso pensar bem em todos esses pontos antes de decidir o que é melhor para a sociedade e para as mulheres envolvidas nessa situação tão delicada e complexa.</t>
  </si>
  <si>
    <t>Flash_Aval_08</t>
  </si>
  <si>
    <t>O horário de propaganda eleitoral é importante para as pessoas saberem quem são os candidatos.
Ele passa na televisão e no rádio e mostra o que cada um quer fazer se for eleito.
Assim, o eleitor pode escolher melhor em quem votar, pois ele conhece as propostas.
Algumas pessoas acham que essa propaganda ajuda muito porque explica as coisas de um jeito fácil de entender.
Eles dizem que é bom ter esse tempo para ver os candidatos falando e mostrando suas ideias.
Isso faz com que a pessoa se sinta mais segura na hora de votar, pois não vai votar em alguém que não conhece nada.
Mais outros pensam que essa propaganda não é tão útil assim.
Eles acham que os candidatos falam muito e não dizem nada de importante, só prometem coisas que não vão cumprir.
Além disso, tem gente que nem assiste porque prefere ver outras coisas na TV, como novelas ou filmes.
No fim das contas, o horário eleitoral pode ser bom para alguns, mas não para todos.
Depende muito do que o eleitor quer e se ele presta atenção no que é falado.
Se as pessoas não ligam a TV nessa hora, não adianta muito, né?
Então, é uma coisa que tem seus prós e contras.</t>
  </si>
  <si>
    <t>Flash_Aval_09</t>
  </si>
  <si>
    <t>Cobertura de notícias que escandalizam o mundo, reportagens sobre a situação política e econômica de uma nação, denúncias de fraude e críticas aos diversos órgãos públicos são tópicos  que dão importância à imprensa numa sociedade democrática.
Casos polêmicos envolvendo corrupção estão, periodicamente, nos diversos meios de comunicação.
Jornais, revistas, programas de rádio e páginas eletrônicas são muito utilizados para mostrar à população os fatos da atualidade.
Denúncias de fraude e campanhas feitas ao  combate a  miséria também estão entre os assuntos mais abordados pela imprensa.
E, além disso, a mídia tem outra função bastante importante: relatar à sociedade notícias que afetam diretamente o cotidiano de muitas pessoas.
Numa sociedade democrática, há uma importância em  valorizar a liberdade de expressão.
Utilizar a mídia como principal meio para combater abusos é extremamente necessário, pois uma imprensa sem censuras  é a ferramenta imprescindível para manter uma verdadeira democracia.</t>
  </si>
  <si>
    <t>A imprensa é muito importante numa sociedade, porque ela fala as coisas que acontecem.
As pessoas precisam saber o que tá rolando na política e em outras áreas.
Se a imprensa não mostrar, ninguém vai saber e aí as coisas ruins podem acontecer sem ninguém ver.
Tem gente que fala que a imprensa só mostra o lado ruim das coisas, mas isso não é verdade.
Ela tem que mostrar o que é importante, mesmo que seja ruim.
A democracia precisa que as pessoas saibam tudo para poderem votar direito e escolher quem é bom.
Se a imprensa não fizer isso, a democracia fica fraca.
Alguns acham que a imprensa devia ser mais positiva, mas o papel dela é informar a verdade, não importa como ela seja.
Se a imprensa for censurada, aí sim a democracia acaba de vez.
Então, ela tem que ser livre para falar o que quiser, mesmo que desagrade.
Por isso, é fundamental que a imprensa continue fazendo seu trabalho de informar a sociedade sobre tudo que acontece.
Isso ajuda as pessoas a entenderem melhor o mundo e a participarem mais da vida política.
É preciso que ela continue livre e forte.</t>
  </si>
  <si>
    <t>Flash_Aval_10</t>
  </si>
  <si>
    <t>Estamos vivendo em plena revolução tecnológica , tempos estes em que é necessário o domínio de no mínimo duas línguas diferentes, mas como vamos dominar línguas como o mandarim, se nem ao menos dominamos nossa língua ?
Logicamente existe uma contribuição dos governos federais, estaduais e municipais, pois a educação no país esta totalmente defasada.
Alunos que são aprovados automaticamente sem nem ao menos saber como fazer um simples calculo matemático.
Sim, o português é uma língua difícil , isso é fato, mas nem por isso é impossível aprende-lá em sua totalidade.
O português do cotidiano com certeza facilita a comunicação por ser de fácil aprendizado, porém, ele está sempre sofrendo metamorfoses, principalmente se na televisão fulano inventa uma nova palavra.
Mas esse português alegre e cordial do cotidiano logicamente não pode ser utilizado em documentos, pois dificultaria para o leitor entender o texto, é só imaginar um texto emitido pelo presidente que contesse uma expressão tipica do nordeste , ou seja, um gaúcho não entenderia nada.
Por isto temos que nos esforçar, pois mesmo não sendo nossa língua materna que na verdade é o tupi-guarani, em aprender o uso correto e coeso do português pois nenhuma empresa emitiria comunicados em um português inspirado em Çeu Creysson, e cabe a nós também lutarmos por um governo sem roubalheiras , e que invista na educação pois sabemos, é a única saída para esse pandemônio em que vivemos, e temos que lutar e lutar, porque sabemos que somos brasileiros e não desistimos nunca .</t>
  </si>
  <si>
    <t>A gramática, em sua essência, configura-se como um conjunto de normas que visa organizar e padronizar a língua falada e escrita por uma comunidade.
Essa sistematização, idealmente, deveria servir como um elo facilitador na comunicação, assegurando a clareza e a compreensão mútua entre os interlocutores.
Contudo, a percepção de que o aprendizado rigoroso de suas regras, por vezes excessivas em detalhes nimios, pode gerar barreiras à expressividade e à fluidez discursiva levanta um debate pertinente sobre seu real papel.
Nesse contexto, a gramática, ao pretender uniformizar a expressão linguística, pode paradoxalmente restringir a espontaneidade comunicativa.
A severidade com que certas regras são impostas, como apontado por alguns teóricos da linguística aplicada, pode inibir a criatividade e o uso natural da linguagem, especialmente em contextos informais onde a comunicação prioriza a agilidade e a informalidade.
A própria ideia de uma norma culta única pode excluir grupos sociais que não a dominam, dificultando sua plena participação na esfera pública.
Por outro lado, a ausência de um referencial gramatical comum abriria espaço para a anarquia linguística, onde a comunicação se tornaria fragmentada e passível de constantes mal-entendidos.
A história demonstra que a padronização linguística, embora desafiadora, foi crucial para a consolidação de identidades nacionais e para a disseminação do conhecimento em larga escala.
Sem essa base, a interação social e a produção intelectual seriam severamente prejudicadas, impedindo o avanço coletivo.
Portanto, é imperativo que o ensino da gramática seja repensado, focando em sua função comunicativa e não meramente prescritiva.
Para tanto, o Ministério da Educação, em parceria com instituições de ensino, deve promover a capacitação de professores para abordagens didáticas mais contextualizadas e menos punitivas, utilizando recursos lúdicos e exemplos práticos que demonstrem como o uso adequado da norma culta pode, de fato, ampliar as possibilidades de expressão e compreensão, sem cercear a vitalidade da língua.</t>
  </si>
  <si>
    <t>Flash_Aval_11</t>
  </si>
  <si>
    <t>A Aids não mudou seu caráter letal e destrutivo desde a década 80.
Considerando ainda seu aspecto biológico, o vírus tem uma alta taxa de mutação que dialoga diretamente com sua adaptabilidade e resistência.
Entretanto, os jovens da atual geração se distanciaram do medo em relação a doença e cada vez  praticam sexo sem uso da camisinha.
Justificando  a prática desprotegida em  uma lógica falseada que  são pouco os casos de AIDS entre a população e se por ventura  forem contaminados, os coquetéis garantiriam uma vida dentro da normalidade.
Primeiramente, a falácia da ideia de raros os casos de AIDS no Brasil são contrariados  pelos números.
O ranking mundial de portadores de HIV/Aids aponta nosso país como décimo oitavo país com mais casos da doença disseminada  na população.
A cada 100 mil habitantes, 20          desses estão contaminados.
As características silenciosas da doença resultam em um binômio de prática sexual desprotegida e portabilidade da doença sem conhecimento.
Esse quadro somente tenderá a aumentar o número de casos e a necessidade de acesso desses à  portadores aos medicamentos-coquetéis.
Nesse sentido  , os coquetéis não curam          o quadro da doença .
Esse conjunto de drogas promovem  a supressão da doença .
Todavia, a mutabilidade da  vírus necessita de cada vez mais tipos de coquetéis e até onde o Brasil conseguirá prover para sua população esse medicamento é uma incógnita.
Vale ressaltar que até 6  anos atrás o acesso ao coquetel era difícil, e ainda hoje sua distribuição se mantém por uma aliança do governo e organizações não governamentais filantrópicas.
Torna-se evidente, portanto, que a geração atual está mal informada.
E sua conduta, derivada desse fato, vai aumentar sem dúvida o caso  da doença no Brasil.
A educação sexual é algo pouco presente no meio educativo brasileiro.
Nas escolas falta  palestras com profissionais qualificados para proporcionarem aos educandos alguma consciência sobre o tema, e essa é uma proposta razoável para que as gerações futuras não compartilhem da errônea ideia que perpassa hoje a sociedade sexualmente ativa brasileira  .</t>
  </si>
  <si>
    <t>A Síndrome da Imunodeficiência Adquirida (Aids), outrora um flagelo temido e estigmatizado, parece ter perdido parte de sua aura aterrorizante.
Essa transmutação da percepção pública, contudo, não reflete uma erradicação da doença, mas sim uma complexa interação entre avanços terapêuticos e a erosão da memória coletiva sobre os primórdios da epidemia.
Assim, torna-se imperativo analisar as razões subjacentes a essa diminuição do medo, examinando tanto a evolução médica quanto o distanciamento geracional e a consequente desinformação que permeia a sociedade contemporânea, negligenciando os riscos ainda presentes.
Historicamente, o surgimento da Aids no Brasil, marcado por figuras públicas como Cazuza em 1989, impôs um choque à sociedade, forçando discussões sobre sexualidade, fidelidade e práticas de risco, antes consideradas tabu.
O medo, embora paralisante, funcionou como um catalisador para a conscientização e a adoção de medidas preventivas, impulsionado pela visibilidade da doença e pela rápida disseminação de informações, ainda que incipientes.
Essa fase de apreensão coletiva, alimentada pela alta mortalidade e pela falta de tratamento eficaz, moldou uma geração mais cautelosa e informada sobre os perigos inerentes à infecção pelo HIV.
Com o advento de terapias antirretrovirais eficazes, a Aids migrou de uma sentença de morte para uma condição crônica gerenciável, um feito notável da medicina moderna, como evidenciado pela introdução de coquetéis terapêuticos a partir de 1995.
Paralelamente, o distanciamento temporal em relação às primeiras vítimas fatais e a ausência de uma vacina, conforme apontado pela Organização Mundial da Saúde, contribuíram para que as gerações mais jovens, que não vivenciaram o pânico inicial, encarem a doença com uma familiaridade enganosa.
Essa familiaridade, aliada a uma suposta estabilização dos casos pelo governo, fomenta um perigoso relaxamento nas práticas de prevenção, especialmente entre os jovens, que, segundo pesquisas, tendem a abandonar o uso de preservativos em relacionamentos considerados estáveis.
Diante desse cenário, é fundamental que o Ministério da Saúde, em parceria com instituições de ensino e a mídia, intensifique campanhas de conscientização que desmistifiquem a Aids, mas reforcem sua gravidade e os riscos da infecção.
Essa ação deve empregar estratégias de comunicação adaptadas ao público jovem, utilizando plataformas digitais e influenciadores para disseminar informações precisas sobre prevenção e testagem, detalhando os efeitos devastadores da doença em estágios avançados e a importância de exames regulares, mesmo em relacionamentos monogâmicos, a fim de reavivar a percepção de risco e combater a disseminação do vírus.</t>
  </si>
  <si>
    <t>Flash_Aval_12</t>
  </si>
  <si>
    <t>Com tantas manifestações que acontecerá  em nosso país nos próximos meses, o Brasil tem sim razões para temer o terrorismo, pois qualquer país estará apto a ser o país-alvo  de terroristas em grandes acontecimentos internacionais.
Embora,          isto não convém a ser uma ação positiva, os governantes devem estar cientes que sim, poderá acontecer uma catástrofe nas realizações ocorridas no país.
Contudo, todos já deveriam estar preparados para tamanha violência, caso ocorra.
Se bem que essa não e  a realidade, pois no código  penal brasileiro não há conceituação de terrorismo, ou seja,          se tivermos um ataque terrorista não haverá penalizações para os autores da violência.
Apesar de existirem tropas altamente qualificadas para o combate, não será o suficiente  para a proteção da população e visitantes.
O ato terrorista tem como objetivo testar o país que será atacado , ou seja, a capacidade de defesa e prevenção.
O que se tem de positividade  e  que a defesa brasileira e  capacitada para tal ataque, o que falta são leis que castiguem esses malfeitores...
O assunto que se trata é algo que talvez possa acontecer, por isso se destaca a prevenção a capacidade de antever.
Para que a segurança do nosso país entre em rigor pelo menos nesta temporada pois se há como combater por que que não há como acusar?
Se liga Brasil.</t>
  </si>
  <si>
    <t>O terrorismo é um medo que o Brasil pode ter porque o mundo todo tem medo.
Os Estados Unidos já sofreram muito com isso, e a gente não quer que aconteça aqui também.
É importante pensar nisso.
A gente tem que se proteger sempre.
Tem que ter cuidado com quem vem de fora e com quem tá perto.
É um assunto sério que preocupa todo mundo.
As notícias mostram que isso é perigoso.
Por isso, o governo tem que fazer alguma coisa para evitar que isso aconteça no nosso país.
Fazer mais segurança é bom.
A gente não pode deixar acontecer aqui o que aconteceu em outros lugares.
É preciso ter atenção.
Os eventos que vão ter aqui são grandes e podem atrair gente ruim.
Precisamos estar preparados para qualquer coisa.
É melhor prevenir do que remediar, como diz o ditado.
Temos que pensar no futuro.
Precisamos de leis melhores e mais policiais.
A gente espera que tudo corra bem e que ninguém se machuque.
É importante que todos se sintam seguros.
A gente quer paz.
O governo precisa garantir a paz para todos os cidadãos e visitantes.
É um dever dele.
A gente confia que eles vão fazer o melhor para o Brasil.</t>
  </si>
  <si>
    <t>Flash_Aval_13</t>
  </si>
  <si>
    <t>O conflito de gerações é uma coisa que muita gente fala, se é que ainda existe hoje.
A tecnologia mudou tudo muito rápido, fazendo as coisas serem diferentes de quando era antes.
Antigamente, os pais mandavam mais, e os filhos obedeciam sem reclamar, porque era assim que as coisas eram e não tinha muita escolha.
Hoje em dia, parece que é ao contrário, os jovens têm mais voz e fazem o que querem, sem ligar muito para o que os mais velhos pensam.
Isso causa muita briga e desentendimento em casa, porque cada um quer uma coisa e ninguém cede.
Os pais acham que os filhos não respeitam, e os filhos acham que os pais são muito chatos e não entendem nada do mundo atual.
Essa diferença de pensamento e de costumes faz com que seja difícil a convivência e a harmonia familiar.</t>
  </si>
  <si>
    <t>Com o advento da Revolução Tecnológica no final da década de 60, a tecnologia faz parte cada vez mais do dia-a-dia de todos influenciando em mudança de valores que modificam comportamentos tanto de jovens como de adultos.
Enquanto alguns são adeptos a comportamentos formais e polidos, outros são desprendidos e modernos e sua filosofia de vida.
Evidentimente , que pessoas mais idosas ou de pouca cultura demoram ou resistem a se adaptarem às mudanças, mas que de igual forma podem usufruírem dos avanços e conquistas ao longo dos anos.
Há pouco tempo pronunciar um palavrão ou uma palavra um pouco mais ríspida era motivo de escândalo, digno de um corretivo da professora, quando em sala de aula ou por parte dos pais.
Tudo era muito formal e respeitoso.
Contudo, os tempos evoluíram e com ele a insersão da tecnologia, das descobertas, inserindo novos pensamentos e com ele o despreendimento e a flexibilização tanto do falar como do vestir e se comportar na sociedade.
Como nem todos reagem da mesma maneira ao mesmo estímulo, há algumas pessoas que simplesmente repudiam e se isolam por não saber lhe dar com o moderno.
Talvez pela idade avançada, uso de drogas, complicações de ordem psicológica ou possuir pouca cultura mesmo .
Mas o fato é que todos têm oportunidades de usufruírem não de igual maneira, ou de maneiras diferentes das mudanças que estão ocorrendo tanto no setor tecnológico como no social.
É indiscutível que nas últimas décadas as mudanças estão ocorrendo em uma velocidade muito superior que em anos anteriores, em função da evolução tecnológica e social.
Este progresso trás consigo uma carga cada vez mais acelerada imposta pela sociedade de hoje, tornando escasso o tempo que deve ser melhor aproveitado.
Há a necessidade de se adequar os estudos, o trabalho e família, com o laser para que a qualidade de vida não fique em segundo plano.</t>
  </si>
  <si>
    <t>Flash_Aval_14</t>
  </si>
  <si>
    <t>A crença em figuras heroicas, sejam elas históricas, fictícias ou mitológicas, constitui um pilar fundamental na experiência humana, refletindo anseios profundos por ordem, justiça e transcendência.
Em um mundo frequentemente marcado pela complexidade e pela incerteza, a figura do herói emerge como um farol, capaz de inspirar e oferecer um senso de propósito, mesmo diante de adversidades avassaladoras.
Essa necessidade intrínseca de acreditar em algo ou alguém superior se manifesta de diversas formas, desde os mitos antigos até os ícones contemporâneos da cultura pop, demonstrando sua perenidade e relevância.
Nesse contexto, a busca por um "personagem excepcional" que possa erradicar o sofrimento e a violência, conforme sugerido pelo senso comum em períodos de crise, encontra eco na própria natureza da narrativa heroica.
Tal como o mito do herói grego, que desafiava deuses e monstros em prol da humanidade, ou a gênese do Capitão América, concebido para combater a tirania na Segunda Guerra, os heróis modernos personificam a resistência contra as injustiças sociais e as mazelas cotidianas.
Eles representam a esperança de que, mesmo em meio à fragilidade humana, é possível alcançar feitos extraordinários e impor o bem sobre o mal, reestabelecendo um equilíbrio cósmico ou social.
Ademais, a função psicológica e social da figura heroica transcende a mera admiração por feitos grandiosos; ela atua como um catalisador para a ação e a mobilidade social, especialmente em contextos de acentuada desigualdade.
A atribuição de poderes quase divinos a esses "heróis" pela coletividade, como se pudessem alterar a realidade e reduzir disparidades, reflete um desejo coletivo por transformação e justiça.
Essa esperança, ainda que ilusória, torna o cotidiano menos insuportável para os menos favorecidos, oferecendo um escape temporário das agruras e um vislumbre de um futuro mais promissor, como um desdobramento da ideia de desenvolvimento econômico prometido mas raramente alcançado.
Entretanto, é imperativo reconhecer que a idealização excessiva pode engendrar "falsos heróis", indivíduos que se locupletam da fé popular, explorando a vulnerabilidade e os sonhos alheios.
Para mitigar essa distorção, o Ministério da Educação, em parceria com instituições culturais e educacionais, deve promover campanhas de conscientização sobre o pensamento crítico e a análise midiática, utilizando documentários e debates sobre figuras históricas e fictícias.
Tal iniciativa visa capacitar os cidadãos a discernir entre a admiração saudável por qualidades heroicas e a adesão cega a indivíduos que se aproveitam da esperança alheia, garantindo que a crença em heróis sirva como inspiração genuína, e não como ferramenta de manipulação, preservando a dignidade e o progresso social.</t>
  </si>
  <si>
    <t>Os super-heróis dos quadrinhos existem em função das outras pessoas, desistem dos sonhos pessoais para ajudar o próximo.
Muitos deles não são mesmo felizes e tem sérios problemas que não conseguem resolver.
O conceito de herói leva justamente a esse pensamento um ser de caráter perfeito sem maldade nem malícia .
Mas se olhar ao redor não observa-se ninguém com essas características.
Quando as pessoas vêem umas se aproveitarem das outras por serem mais inteligentes, ou por serem mais fortes; acabam por sentir a falta destes super-heróis.
No Brasil os únicos vistos como heróis na realidade são os bombeiros, mesmo assim são alvos da criminalidade .
Os policiais são ate mesmo vistos como verdadeiros vilões por muitos.
Os nossos verdadeiros heróis morrem, tem medo e uma família a proteger por isso não conseguem resolver todos os problemas, alem disso são poucos e mal treinados.
A única maneira de resolvermos os problemas sociais é tornando todos super-heróis, ter em nosso pensamento que podemos derrotas todos os vilões.
E ter como nosso verdadeiro mestre os políticos, policiais e outras autoridades, para se poder formar uma verdadeira "liga da justiça".</t>
  </si>
  <si>
    <t>Flash_Aval_15</t>
  </si>
  <si>
    <t>A meu ver, a lei tem uma proposta bem útil.
A sala de aula não é um lugar para mostrar seu celular de última geração com câmera fotográfica.
Estamos na escola para aprender, e devíamos aprender lá também que o toque do celular no meio da aula não é apenas uma falta de respeito ao professor, mas também com os outros alunos que realmente querem aprender.
Claro, o celular é importante em um momento de emergência, mas acho que é para isso que serve o telefone da escola.
Agora, acho que os celulares deviam ser proibidos tanto para os alunos, quanto para os professores e outros funcionários.
Um aluno que vê o professor utilizando vai se sentir injustiçado, claro, se o professor pode, porque  ele não?
Mesmo assim, ainda me pergunto se os colégios irão realmente adotar essa lei .
É muito fácil falar, difícil é agir, principalmente quando se trata de adolescentes (Você tem esse tipo de problemas com alunos de sete anos?).
O celular do aluno toca no meio da aula, o professor para a explicação, o aluno pede desculpas, o professor volta à aula.
Simples.
O aluno não tem o celular confiscado, não leva uma advertência, não perde nota.
Assim é fácil.
Essa lei também devia propor uma punição.
Não algo radical, claro.
Mas algo que faça o aluno pensar duas vezes antes de levar o aparelho para a escola.
Enquanto isso, só me resta esperar que os alunos tenham um pouco mais de consciência.
Vamos combinar que ser atrapalhado por um barulhinho irritante de telefone no meio da explicação que você mais precisava não é nada agradável...</t>
  </si>
  <si>
    <t>A discussão sobre a proibição do uso do celular em sala de aula é complexa e divide opiniões.
De um lado, há argumentos que defendem a restrição como medida necessária para manter o foco e a disciplina.
Do outro, a proibição pode ser vista como uma invasão da esfera privada e uma oportunidade perdida de integrar a tecnologia ao aprendizado.
É fundamental analisar os prós e contras para se chegar a um consenso.
Um dos principais argumentos a favor da proibição é a redução das distrações em sala.
O constante toque de notificações e a tentação de checar redes sociais desviam a atenção dos alunos do conteúdo ensinado, prejudicando o processo de aprendizagem.
Além disso, o celular pode ser utilizado para fins ilícitos, como a cola em avaliações, o que compromete a integridade acadêmica.
A escola, como ambiente de formação, deve priorizar a concentração e o desenvolvimento intelectual, e o celular muitas vezes atua como um obstáculo a isso.
Por outro lado, a proibição total pode ser considerada um retrocesso na era digital.
Os smartphones, quando utilizados de forma consciente e orientada, podem ser ferramentas poderosas para a pesquisa, o acesso a materiais complementares e o desenvolvimento de habilidades digitais essenciais para o futuro.
Proibir o uso pode significar fechar os olhos para o potencial educativo da tecnologia e ignorar a realidade do mundo atual, onde a informação está a um clique de distância.
Diante do exposto, é necessário um equilíbrio.
O Estado, por meio das instituições de ensino, deve estabelecer regras claras sobre o uso de celulares em sala de aula, que visem otimizar o aprendizado e minimizar as distrações, sem, contudo, demonizar a tecnologia.
Uma proposta seria a criação de políticas que permitam o uso de celulares para fins pedagógicos sob supervisão do professor, com horários e atividades específicas, garantindo que o aparelho sirva como um aliado e não como um inimigo do conhecimento, promovendo a autonomia e a responsabilidade dos estudantes.</t>
  </si>
  <si>
    <t>Flash_Aval_16</t>
  </si>
  <si>
    <t>A dinâmica dos relacionamentos amorosos, historicamente marcada por convenções sociais e interesses diversos, tem como um de seus aspectos mais debatidos a união entre indivíduos com expressiva diferença de idade.
Tal configuração, longe de ser um fenômeno recente, remonta a tempos remotos, onde interesses políticos e dinásticos frequentemente selavam laços matrimoniais entre pessoas de gerações distintas.
Nesse contexto, a questão de se tais uniões são sustentáveis e benéficas suscita um debate complexo, polarizado entre a aceitação e a reprovação social, o que exige uma análise aprofundada sobre seus fundamentos e consequências, especialmente considerando a tese de que, embora historicamente justificadas por fatores externos, a viabilidade contemporânea desses relacionamentos reside na igualdade de propósitos e no respeito mútuo, e não apenas na atração intergeracional.
É inegável que a sociedade contemporânea, influenciada por ideais de igualdade e autonomia, tende a questionar as relações desprovidas de paridade de condições, o que se aplica diretamente aos enlaces com grande discrepância etária.
Nessa perspectiva, o filósofo francês Michel Foucault, em sua análise sobre as relações de poder, discute como as estruturas sociais podem perpetuar assimetrias, o que, em relacionamentos, pode se manifestar em dinâmicas de dominação ou dependência, especialmente quando a diferença de idade é acentuada.
A maturidade emocional e a experiência de vida do parceiro mais velho, por um lado, podem oferecer segurança e estabilidade; contudo, por outro, podem gerar uma hierarquia implícita que limita o desenvolvimento e a expressão da individualidade do mais jovem, comprometendo a reciprocidade essencial a um vínculo saudável.
Ademais, a disparidade geracional frequentemente implica diferentes visões de mundo, interesses culturais e fases de vida, o que pode acarretar desafios na construção de uma intimidade genuína e compartilhada.
Por conseguinte, para que um amor com grande diferença de idade possa prosperar, é imperativo que ambos os indivíduos compartilhem valores semelhantes, busquem objetivos compatíveis e cultivem um espaço de diálogo aberto e honesto.
A verdadeira conexão, nesse sentido, transcende a mera atração física ou a conveniência de interesses, edificando-se sobre o respeito às individualidades e a promoção mútua do crescimento pessoal.
Portanto, a longevidade e a qualidade de tais relacionamentos não dependem intrinsecamente da diferença etária, mas sim da capacidade dos parceiros em construir uma relação equitativa e madura.
Para tanto, o Estado, por meio do Ministério da Mulher, da Família e dos Direitos Humanos, deve promover campanhas educativas em escolas e mídias sociais, com foco em jovens e adultos, que abordem a importância da igualdade nas relações afetivas e desmistifiquem preconceitos associados à diferença de idade, utilizando depoimentos de casais heterogêneos e especialistas em psicologia e sociologia.
Paralelamente, as instituições de ensino superior, em parceria com ONGs de direitos humanos, devem oferecer palestras e workshops que discutam as dinâmicas de poder em relacionamentos e a construção de vínculos saudáveis, incentivando a reflexão crítica sobre os modelos de amor disseminados pela cultura.
Essas ações conjuntas visam a fomentar uma sociedade mais consciente e preparada para avaliar relacionamentos pela sua qualidade e respeito mútuo, e não por convenções sociais ultrapassadas, garantindo que a idade não seja um fator limitante para a felicidade e o desenvolvimento individual e do casal.</t>
  </si>
  <si>
    <t>Muitos dizem que o amor é cego, o que explica muito quando o assunto é a grande diferença de idade entre casais , não só pelo aspecto físico do indivíduo , mas pela situação em que cada um se encontra ao dividir idéias com o parceiro, ambos podem ser maduros e conscientes, porém possuem         interesses distintos,e mesmo não influenciando muito no começo da relação, o fará no futuro ,porém ,         a quem discorde disso e tome essa relação como algo normal.
Todo esse contexto de diferença e de conservadorismo faz com que muitos tomem esse tipo de relação como algo superficial e pouco duradouro cheio de falsidade e muitas vezes baseada em euforia e encanto entre um casal ou até algo movido por algum interesses, o que provavelmente não suportaria uma forte adversidade, diferente de casais com idade s semelhantes          e interesses bastantes  comuns           a idade,em que fica mais fácil a convivência e que ambos podem desfrutar de uma vida mais tranqüila juntos.
Outros gostam de pensar que é raro,           mais não impossível           à atração entre uma jovem de 17 anos e um homem de 34, mesmo porque esse teria quase a idade do pai da garota o que leva muitos a pensar que é impossível haver um sentimento de amor verdadeiro .
A verdade é que não cabe a ninguém julgar se o amor existe ou não , o ser humano é livre para amar verdadeiramente e se existe ou não amor isso é um problema do casal, a diferença pode influenciar ou não             mais  o amor verdadeiro se existir vai saber vencer todas essas diferenças, porque amar é aceitar as diferenças.</t>
  </si>
  <si>
    <t>Flash_Aval_17</t>
  </si>
  <si>
    <t>A dicotomia entre o amor como força construtiva e o amor como catalisador de atos violentos suscita debates acalorados na sociedade.
Frequentemente, a mídia explora casos de crimes passionais, associando-os intrinsecamente ao sentimento amoroso, levantando a questão: quem ama, de fato, não mata?
Essa perspectiva, contudo, simplifica uma complexidade multifacetada, onde fatores psicológicos, sociais e individuais se entrelaçam.
Portanto, é imperativo analisar criticamente a relação entre afeto e criminalidade, desmistificando a ideia de que o amor, em sua essência, possa justificar ou impulsionar a violência letal.
O amor genuíno, em sua concepção mais pura, deveria promover o bem-estar e o respeito mútuo, e não a possessividade e o controle que frequentemente culminam em tragédias.
A tese defendida é que a violência em nome do amor não reflete a natureza do sentimento, mas sim patologias individuais e falhas estruturais na sociedade.
Para tanto, serão explorados os aspectos psicológicos da possessividade e a influência de construções sociais sobre a percepção do amor e do ciúme.
Em primeiro lugar, é crucial reconhecer que a violência decorrente de relacionamentos amorosos, muitas vezes rotulada como "crime passional", raramente emana do amor em si, mas sim de distorções psicológicas como o ciúme patológico, a possessividade exacerbada e a incapacidade de lidar com a rejeição.
O filósofo Arthur Schopenhauer, em "O Mundo como Vontade e como Representação", sugere que "todo amor que não é compaixão é amor-próprio", o que pode ser interpretado como a violência surgindo de um egoísmo disfarçado de afeto, onde o outro é visto como posse e não como indivíduo.
A frustração diante da perda dessa "posse" pode desencadear reações extremas em personalidades predispostas.
Ademais, a construção social do amor romântico, frequentemente retratada na cultura popular, idealiza o ciúme como prova de amor e a intensidade das emoções como sinônimo de paixão avassaladora.
Essa narrativa pode legitimar comportamentos controladores e violentos, especialmente entre jovens, que, ao vivenciarem o fim de um relacionamento, podem sentir-se pressionados por expectativas sociais irreais.
A psiquiatra Ana Beatriz Barbosa Silva, em "Mentes Perigosas", alerta para a existência de indivíduos ardilosos que utilizam "disfarces" perfeitos, mascarando instintos maquiavélicos sob aparências de afeto, o que corrobora a ideia de que a violência não é inerente ao amor, mas sim a manipulações e distúrbios de personalidade.
Dessa forma, é evidente que a violência em nome do amor é uma manifestação de desvios individuais e sociais, e não uma consequência intrínseca do sentimento.
Para mitigar essa problemática, é fundamental que o Ministério da Educação, em parceria com o Ministério da Saúde, promova, por meio de campanhas educativas em escolas e plataformas digitais, a desconstrução de mitos sobre o amor romântico e a exaltação do ciúme.
A ação deve ocorrer através de palestras, oficinas e materiais informativos que abordem a importância do respeito mútuo, do autocontrole emocional e da busca por ajuda profissional em casos de relacionamentos abusivos.
O objetivo é conscientizar a população, especialmente os jovens, sobre os perigos da possessividade e incentivar a adoção de relações saudáveis e igualitárias, fomentando uma cultura de paz e respeito à vida, de modo que o amor seja, de fato, uma força construtiva e não destrutiva na sociedade.</t>
  </si>
  <si>
    <t>Segundo o dicionário, o verbo amar significa afeição profunda, zelo e cuidado !
Mas na prática, percebe-se acrítica da populaçãoa tal sentimento, que por ter aspectos ingênuos, pode enganar muitas pessoas.
Para alguns, o amor jovem é apenas estar junto, fazer companhia!
Mas para quem acha que todo esse turbilhão de hormônios só ocorre em jovens, está enganado!
Amar é para todas as idades, o que diferencia é a forma de como o amor é mantido!
Muitos transformam esse amor em uma necessidade, criando uma obsessão        para        esse sentimento.
O amor nos dias atuais é banalizado!
O afeto e o sentimento verdadeiro foram tomados por ondas de puro vandalismo, tendo como exemplo o caso da jovem Eloá Pimentel!
Esse crime chocou todo o Brasil, que conheceu Lindemberg Alves, autor do crime, que foi até acusando de louco e até mesmo desprovido de amor próprio!
Quando falamos de um grande amor, pensamos nas marcas que ele deixa em nossas vidas!
São fotografias, cartas, marcas no coração, na mente, e há ainda as tristes marcas deixadas na busca pelo tão sonhado 'pra sempre', fazendo loucuras para mostrar o que se sente!
Essas loucuras podem mudar completamente a vida de uma pessoa!
Quem ama não tem medo de arriscar, tem medo de perder!
E quando se perdem essas pessoas se transformam!
Pessoas comuns, aparentemente comuns, mas que quardam no peito um sentimento diferente, como o ciúme, a raiva e o rancor!
Mas em meio a tudo isso, que o amor prevaleça e que essa verdadeira onda de distúrbios amorosos sejam finalizados, porém eternizada na memória das pessoas, para um dia entenderem o que é o amor e o que ele faz na sua vida!
Tudo depende de você.</t>
  </si>
  <si>
    <t>Flash_Aval_18</t>
  </si>
  <si>
    <t>A ocorrência de massacres em escolas, como o trágico evento em Realengo, levanta um debate urgente sobre a possibilidade de prevenção.
Embora a natureza complexa desses atos dificulte uma resposta definitiva, é inegável que medidas podem ser implementadas para mitigar tais riscos.
A análise das causas e a busca por soluções integradas são essenciais nesse processo.
A sociedade precisa se mobilizar para criar um ambiente mais seguro e acolhedor para todos.
Um dos fatores que contribuem para a ocorrência de violências extremas é a falta de atenção à saúde mental.
Muitas vezes, indivíduos que cometem atos de tamanha crueldade apresentam histórico de transtornos mentais não tratados ou negligenciados.
A pressão social, o isolamento e a ausência de apoio psicológico podem agravar quadros preexistentes, levando a desfechos trágicos.
É fundamental que o Estado e a sociedade civil invistam em programas de saúde mental acessíveis e eficazes, desde a infância.
Outro ponto crucial é o ambiente escolar.
A escola, que deveria ser um espaço de aprendizado e convivência pacífica, pode se tornar um gatilho para a violência quando marcada por bullying e exclusão.
O caso de Realengo evidenciou como o assédio e a humilhação podem ter consequências devastadoras.
Portanto, é necessário fortalecer as políticas de combate ao bullying, promovendo o respeito às diferenças e a empatia entre os estudantes.
A criação de canais de denúncia e o acompanhamento psicossocial dos alunos são medidas importantes.
Diante do exposto, para prevenir massacres em escolas, é imprescindível uma ação conjunta.
O Ministério da Educação, em parceria com o Ministério da Saúde, deve implementar programas de saúde mental nas escolas, oferecendo acompanhamento psicológico aos alunos e capacitando professores para identificar sinais de alerta.
Além disso, é preciso reforçar as campanhas de conscientização sobre o combate ao bullying e a promoção da cultura de paz, com o objetivo de criar um ambiente escolar mais seguro e acolhedor para todos os estudantes.</t>
  </si>
  <si>
    <t>Os brasileiros ficaram chocados com o atentado que tirou a vida de doze estudantes numa escola do Rio de Janeiro.
A comoção é geral, porque a criança representa  a alegria do presente e a esperança do futuro.
Após a tragédia sempre se busca  os culpados, as causas que motivaram uma ação tão violenta contra crianças indefesas.
Muitos especialistas são consultados, elaboram suas teses, dão os seus pareceres, mas nada fica esclarecido ou explicado, pelo menos não a contento.
Seria providencial se um especialista pudesse em rede nacional, dizer o que todo o mundo já sabe: violência gera violência.
Nossas crianças e jovens são expostos à doses maciças de violência, quer nos desenhos que assistem, nos games, filmes, noticiários, praticamente toda a programação da TV tem como centro a violência explícita.
O pefil sócio-emocional  de crianças e jovens expostos às  essas programações fatalmente terá uma tendência à violência, e isso não é teoria é uma realidade               , basta observar o comportamento das pessoas no trânsito onde por qualquer desentendimento eles partem da discussão verbal para a agressão física,               por causa de namorada briga termina em morte, ser repreendido pelo professor já justifica agredí-lo  , e muitos outros casos de total intolerância e desrespeito às pessoas e às leis, e em casos mais acerbados  culminando em chacinas.
A sociedade tem que perder essa capacidade de esquecer tragédias e lutar com afinco para reverter esse quadro.
Como solução a curto prazo há que se exigir do governo uma política séria e comprometida com a segurança física dos alunos dentro de uma unidade escolar, que é o mínimo que se pode esperar de um governo constituído.
Aos pais cabem  a tarefa de cuidarem melhor da educação de seus filhos.
Ter um filho é ter consciência da responsabilidade direta e intransferível pela formação de seus valores morais, sociais, emocionais, para que ele possa ser um cidadão que respeita e é respeitado no convívio social, que saiba resolver seus problemas e diferenças através do diálogo permeado de tolerância ao próximo.
É cada um assumindo sua parte que faremos um país mais pacífico para todos.</t>
  </si>
  <si>
    <t>Flash_Aval_19</t>
  </si>
  <si>
    <t>Em um mundo que poderia até mesmo ser considerado como preconceituoso, pessoas seriam privadas de conhecer e compreender uma leitura como se não merecessem lê-la .
Aqueles que não tivessem a avidez para interpreta-la  não mereceriam conhece-la  .
Mas é perceptível que          tal método privativo poderia ser considerado um equívoco e até mesmo uma injustiça.
Sabe-se que na realidade do brasil  nem todos estão prontos para ler uma          obra literária de característica de linguagem considerada difícil ou até mesmo incompreensível para alguns.
Uma simplificação de uma grande obra literária nada mais séria  do que uma forma de acessibilidade para todos os tipos de leitores.
Aqueles que preferem a obra original e acreditam que a adaptação faz com que ela se empobreça e perca sua essência podem simplesmente não lê-la.
Que continuem a ler a obra original.
A intenção não é substituir a escrita de Machado de Assis, mas sim promover uma segunda opção de leitura mais simples para aqueles que encontram dificuldades em entender a obra original.
Tal atitude pode até mesmo ser vista como uma forma de incentivo a aqueles  que não gostavam das obras do autor, e  uma vez que tenham lido a versão simplificada, passem a gostar e até mesmo procurar ler as obras originais.
Uma forma alternativa para pessoas que fogem de uma          linguística considerada difícil.
Ajuda-las  da melhor forma possível a ter curiosidade e obter conhecimento deveria ser o método priorizado, que com certeza traria melhores resultados na intelectualidade de todos.</t>
  </si>
  <si>
    <t>A questão sobre a validade de simplificar a linguagem de obras clássicas para torná-las mais acessíveis, especialmente aos jovens, divide opiniões e suscita debates importantes no campo da educação e da literatura.
Enquanto alguns defendem essa abordagem como uma ponte para democratizar o acesso à cultura, outros a veem como uma mutilação que descaracteriza a obra original e empobrece a experiência de leitura.
É um tema complexo que exige ponderação.
Por um lado, a simplificação pode ser vista como uma ferramenta valiosa para engajar leitores que se sentem intimidados pela linguagem rebuscada ou arcaica de muitos clássicos.
A escritora Patrícia Secco, ao adaptar "O alienista" de Machado de Assis, argumentou que a dificuldade vocabular e sintática afasta os estudantes, e que sua versão visa tornar a obra mais palatável e compreensível.
Essa perspectiva sugere que, sem essa mediação, muitos jovens jamais teriam contato com essas importantes obras, recorrendo a resumos superficiais ou desistindo da leitura, o que seria uma perda ainda maior.
Por outro lado, críticos como o professor Alcides Villaça alertam para os perigos de "facilitar" o acesso ao conhecimento.
A obra literária, especialmente um clássico, não se resume à trama; a linguagem, o estilo e as sutilezas do autor são partes integrantes de sua arte e de seu valor.
Simplificar excessivamente pode resultar em uma perda da essência, descaracterizando a genialidade do escritor e oferecendo uma versão empobrecida que não estimula o desenvolvimento do vocabulário e da capacidade crítica do leitor.
Acredita-se que o desafio da leitura é, em si, um fator de aprendizado.
Diante desse impasse, é fundamental que as adaptações sejam feitas com extremo cuidado e transparência, reconhecendo-as como versões complementares e não substitutas.
Para tanto, o Ministério da Educação, em parceria com instituições culturais, deve promover debates sobre a importância da preservação da linguagem original e, ao mesmo tempo, incentivar a criação de materiais didáticos que expliquem o contexto e o vocabulário dos clássicos.
Além disso, as escolas devem investir em programas de letramento literário que preparem os alunos para a leitura das obras em sua forma original, mostrando o valor intrínseco da linguagem machadiana e de outros autores, sem que seja preciso desvirtuar o legado artístico.</t>
  </si>
  <si>
    <t>Flash_Aval_20</t>
  </si>
  <si>
    <t>A meia-entrada é um assunto que divide muitas opiniões na sociedade.
Muita gente acha que é justo que estudantes paguem menos para ir a shows e cinemas, pois isso ajuda eles a terem acesso à cultura.
Por outro lado, tem quem pense que isso não é justo com quem paga o valor integral, e que os preços acabam ficando mais caros para todo mundo por causa disso.
Essa discussão já dura bastante tempo e envolve artistas e o governo.
A gente precisa pensar se essa lei que limita a meia-entrada é boa ou ruim para o país.
Eu acho que é importante que todos possam participar da vida cultural, mas também entendo o lado dos artistas que reclamam.
Talvez o governo pudesse ajudar de outra forma, sem prejudicar os eventos.
É complicado decidir de que lado ficar, pois os argumentos dos dois lados parecem ter alguma razão, e o projeto de lei que está no Congresso pode mudar tudo.
Se todos tiverem acesso à cultura, a sociedade pode ficar mais rica em conhecimento.
Mas se os eventos não tiverem lucro, eles podem acabar fechando, o que seria ruim.
Então, é preciso achar um equilíbrio para que todo mundo saia ganhando, ou pelo menos não perca muito.
Por isso, a minha opinião é que a meia-entrada, como está, tem seus problemas, mas acabar com ela também não parece ser a melhor solução.
Precisamos pensar em alternativas que ajudem os estudantes sem prejudicar os artistas e o público em geral, porque a cultura é importante para todos nós.</t>
  </si>
  <si>
    <t>A muito tempo vêem sendo discutido no senado  a concessão          da meia entrada  para jovens de baixa renda, estudantes, portadores de necessidades especial e idosos.
Com isso é levantada uma grande questão: A meia-entrada será realmente um beneficio  para a sociedade?
As opiniões em relação a este  assunto          deixa uma grande dúvida na opinião do povo brasileiro .
Pois  se em um evento  100% da população  tiver carteirinha, a organização vai obter somente 50% do lucro, onde  deixa muitos atores e atrizes contra essa lei de meia-entrada.
Contudo, não pode-se  deixar de lado o fato          que com os estudantes pagando mais barato estimulará a ida desses jovens a eventos culturais, assim reforçando a cultura nesse  nova geração, além de absorverem mais conhecimento e aprendizado, que de cerda  forma será um investimento na formação desses jovens, e de cara prestar um grande reconhecimento aos mais velhos que já trabalharam e lutaram tanto na vida.
Enfim, que os estudantes não desistam e vá  atrás de seus direitos já conquistados, pois sem dúvida a meia-entrada para esses jovens ajudará no melhor desenvolvimentos profissional e social, além de valorizar cada vez mais a cultura brasileira.</t>
  </si>
  <si>
    <t>Flash_Aval_21</t>
  </si>
  <si>
    <t>A criminalidade infantil, fenômeno complexo e multifacetado, assola a sociedade contemporânea, demandando soluções urgentes e eficazes.
Tal problemática, intrinsecamente ligada a fatores socioeconômicos e estruturais, exige uma análise aprofundada para que se possa delinear estratégias de intervenção.
Nesse contexto, é imperativo investigar as raízes da vulnerabilidade que leva crianças e adolescentes à marginalidade, bem como as falhas sistêmicas que perpetuam esse ciclo vicioso, a fim de propor caminhos para a reintegração social e a garantia de direitos fundamentais.
A tese central é que a resolução passa pela articulação entre políticas públicas de prevenção, educação e suporte familiar, combatendo as causas da exclusão.
Em primeiro lugar, é crucial reconhecer que a ausência de oportunidades e a carência de suporte familiar e comunitário são pilares que sustentam a entrada de menores no universo da criminalidade.
A falta de acesso à educação de qualidade, a oportunidades de lazer e profissionalização, aliada a um ambiente familiar fragilizado ou inexistente, cria um vácuo que é preenchido por atividades ilícitas, como apontam estudos sobre o tema e obras que retratam a realidade de jovens em vulnerabilidade social, a exemplo de "Cidade de Deus".
Essa mazela social, que remonta a tempos passados conforme o senso comum e a literatura, expõe a falha do Estado e da sociedade em prover um ambiente seguro e promissor para todos, culminando na exploração desses jovens por grupos criminosos maiores, que os utilizam como peças descartáveis em suas operações.
Ademais, a legislação brasileira, embora protetiva em sua essência – garantindo, por exemplo, a Constituição Federal de 1988 em seu artigo 227 –, apresenta lacunas que podem, paradoxalmente, facilitar a impunidade e a reincidência.
A inimputabilidade penal para menores de 18 anos, embora baseada em preceitos de desenvolvimento mental incompleto, e as restrições de liberdade limitadas para menores de 12 anos, conforme o Estatuto da Criança e do Adolescente, criam um cenário onde a ação infracional muitas vezes não é devidamente coibida ou ressocializada.
Essa fragilidade legal, somada à falta de estrutura de acolhimento e acompanhamento efetivo após a apreensão, permite que esses jovens retornem rapidamente às ruas e aos caminhos da criminalidade, evidenciando a necessidade de aprimoramento dos mecanismos de aplicação da lei e de reabilitação.
Portanto, para mitigar a criminalidade infantil, é mister que a família, a sociedade e o Estado atuem de forma coordenada e proativa.
Impõe-se, por intermédio do Ministério da Educação e do Desenvolvimento Social, a ampliação de programas de educação integral em tempo integral, com foco no desenvolvimento de habilidades socioemocionais e profissionalizantes, em parceria com organizações não governamentais.
Paralelamente, o Poder Judiciário, em colaboração com a assistência social, deve fortalecer os centros de acolhimento e acompanhamento psicológico e social para menores em conflito com a lei, garantindo não apenas a internação, mas um plano individualizado de ressocialização que inclua o fortalecimento dos vínculos familiares e comunitários, visando a reinserção plena desses jovens na sociedade e a prevenção de futuras infrações.</t>
  </si>
  <si>
    <t>Esta  cada vez mais frequente acompanharmos nos noticiários a criminalidade          por conta da pré-adolescência .
Por estarem imunes as  leis brasileiras os “pequenos”, se sentem a  vontade de cometerem  crimes como roubos, furtos e pequenos assaltos.
Causando assim medo e a sensação de impunidade por parte da  população.
Ao  passar do tempo  a participação de menores em atos ilícitos vêem   aumentando  dia após dia  , por  serem          imputáveis a lei , o mundo da  crime usam  destes para o seu próprio benefício.
Tornando assim os centros das grandes cidades brasileiras mais perigosas.
Pois,  muitos desses menores infratores estão nas ruas, muitas vezes por ter sidos  expulsos de casa, ou até mesmo pela violência          por conta dos seus familiares .
Acabam indo buscar abrigo nas calçadas ou embaixo de pontes.
Assim descobrem um mundo sombrio, onde a única maneira de se livrar da falta da família,  é o uso das drogas.
É assim, se tornam cidadãos excluídos da sociedade.
Apesar de existir  centros de reeducação para menores que descumprem a lei, como a Fundação Casa,  Conselho Tutelar, que tem  a função de reintegrar esses adolescentes para a  sociedade, não é o  suficiente, pois muitos deles ao sair  retornam pra casa, e outros voltam ao crime, e se tornam cada vez mais perigosos.
Portanto, a criação de leis mais rígidas para os pais que abandonam e agride  seus filhos fazendo com o que  eles vão para as ruas, e a redução da maioridade penal, poderão ser a saída, mas não a solução.
Pois melhor forma seria a criação de escolas em turno integral para as crianças, e cursos profissionalizantes para os adolescentes, assim,  ao saírem teriam uma nova perspectiva de vida e estariam educados para um vida digna e de valores éticos  .</t>
  </si>
  <si>
    <t>Flash_Aval_22</t>
  </si>
  <si>
    <t>Segundo documentários sobre experiências em animais.
Um grupo de ativistas entra em um instituto chamado Royal, invadem é liberta cães da raça beagle.
Está manifestação é tanto favorável como desaprovado!
Em favor dos caizinhos  que permaneciam aprisionados e vivendo a  base de comida e água, sem afeto e carinho  um direito que quaisquer outros cães têm.
De passear com seu dono livremente, e não viver em cativeiro.
Mais que a comida e bebida, são  a liberdade que estes  animais devem ter.
Afinal eles também          têm sentimentos, e com isso sentem: frio, apresentam emoção dependente do seu habitat, devido ser um animal domesticado .
Mais desagradável é como esses indivíduos invadiram o Instituto Royal, bastava somente entrar  abrir as gaiolas e soltar os bichinhos.
Por que quebrar tudo, destruindo o centro de pesquisa?
Pois poderia ter provas nas quais a defensoria dos animais pudessem investigar se realmente haveria maus tratos.
Coisa que o Instituto Royal alega fazer legalmente.
Essas manifestações devem ser  sim, democráticas, porém até os laudos saírem fica a pergunta: - Afinal de quem é          a culpa ?
Ativistas (Grupo em defesa dos animais) X Instituto Royal (Laboratório de pesquisa em animais).</t>
  </si>
  <si>
    <t>O uso de animais em experimentos e a violência em manifestações são temas que geram intensos debates na sociedade contemporânea.
Frequentemente, a defesa dos direitos dos animais se choca com a necessidade de avanços científicos, enquanto protestos, em sua essência democráticos, acabam por ceder espaço a atos de vandalismo.
Essa dicotomia exige uma análise cuidadosa das motivações e consequências de cada lado.
Por um lado, a preocupação com o sofrimento animal é legítima e encontra respaldo em preceitos éticos.
A capacidade de sentir dor e a sensibilidade desses seres não podem ser ignoradas, especialmente quando se trata de testes que podem levar a sofrimentos desnecessários.
A busca por alternativas mais humanas e a redução do uso de cobaias são passos importantes para uma sociedade mais empática, mas é preciso ponderar sobre os benefícios que tais pesquisas podem trazer para a saúde humana, como o desenvolvimento de medicamentos.
Por outro lado, a violência em manifestações, como a depredação de instituições e o confronto com autoridades, desvirtua o propósito original desses atos.
Protestos pacíficos são ferramentas essenciais para a democracia, permitindo a expressão de opiniões e a cobrança por direitos.
No entanto, a ação de grupos como os black blocs, que promovem o caos e a destruição, prejudica a causa defendida e gera insegurança, além de criminalizar movimentos legítimos.
Diante disso, é fundamental que o Estado promova o diálogo entre ativistas e pesquisadores, buscando regulamentações mais claras e éticas para o uso de animais em ciência, com fiscalização rigorosa.
Ademais, é preciso que as forças de segurança atuem para coibir a violência em manifestações, garantindo a ordem pública sem reprimir o direito de protesto, separando os manifestantes pacíficos dos vândalos.
Somente assim será possível conciliar o avanço científico com o respeito à vida e a preservação da democracia.</t>
  </si>
  <si>
    <t>Flash_Aval_23</t>
  </si>
  <si>
    <t>A questão de saber se o negro no Brasil apresenta o mesmo status social que o branco é complexa e envolve diversas camadas históricas e sociais.
Embora a legislação brasileira garanta a igualdade perante a lei, a realidade empírica demonstra disparidades significativas que perpetuam um abismo entre os grupos raciais.
A persistência de preconceitos e a desigualdade de oportunidades são fatores cruciais nessa discussão.
Essa situação exige uma análise profunda das estruturas que ainda segregam a população negra em diversas esferas da vida.
Um dos principais argumentos que sustentam a desigualdade é a herança histórica da escravidão, cujos efeitos negativos se estendem até os dias atuais.
A falta de acesso à educação de qualidade e a empregos com boa remuneração para a população negra contribui para a manutenção de um ciclo de vulnerabilidade social.
Essa dificuldade em ascender socialmente é visivelmente refletida na baixa representatividade de negros em cargos de liderança e em espaços de prestígio, como demonstrado por diversas pesquisas que apontam essa realidade.
A reprodução de estereótipos negativos, associando o negro a funções subalternas, também reforça essa segregação.
Ademais, o racismo velado, ou "racismo camuflado", como apontado por estudiosos, dificulta a plena inclusão social do negro.
Muitos brasileiros alegam não ter preconceitos, mas, em suas atitudes e percepções, limitam as possibilidades e o potencial da raça negra, preferindo associá-la a papéis sociais pré-determinados, como os de artistas ou atletas, em detrimento de carreiras intelectuais ou políticas.
Esse "elogio" superficial, que na verdade aprisiona, impede que o negro seja visto em sua totalidade de capacidades e aspirações, perpetuando a ideia de inferioridade social.
Diante desse cenário, é fundamental que o governo, em parceria com a sociedade civil, promova ações efetivas para combater o racismo estrutural.
É preciso intensificar programas de inclusão social e educacional, com cotas raciais em universidades e concursos públicos, além de campanhas de conscientização para desconstruir estereótipos.
A fiscalização e punição rigorosa dos atos de discriminação racial, conforme previsto na Constituição Federal, também são medidas essenciais para garantir que todos os cidadãos, independentemente de sua cor, tenham as mesmas oportunidades e o mesmo status social.</t>
  </si>
  <si>
    <t>Flash_Aval_24</t>
  </si>
  <si>
    <t>A ideia de que a vítima de estupro é a culpada pela agressão sofrida, infelizmente, ainda é presente na sociedade brasileira.
Essa mentalidade, conhecida como "cultura do estupro", se manifesta quando a sociedade, em vez de condenar o agressor, foca nas vestimentas da vítima ou em seu comportamento anterior ao crime.
Tal pensamento é perpetuado por uma visão machista que objetifica a mulher e minimiza a gravidade da violência sexual.
Um dos principais argumentos que sustentam essa cultura é a crença equivocada de que a forma de vestir da mulher ou sua conduta social a tornam responsável pelo ataque.
Pesquisas, como a divulgada pelo Ipea, já apontaram que uma parcela significativa da população concorda com a ideia de que mulheres com roupas curtas "merecem ser atacadas".
Essa percepção distorcida ignora completamente a responsabilidade única do estuprador, que é o perpetrador do crime.
Ademais, a falta de educação e conscientização sobre o respeito ao corpo e à autonomia do outro contribui para a manutenção desse cenário.
Desde cedo, muitas mulheres são ensinadas a se protegerem de possíveis agressões, limitando suas liberdades, em vez de se ensinar aos homens o respeito e a não agressão.
Essa inversão de responsabilidade é um reflexo de uma sociedade que ainda não compreendeu plenamente a gravidade do estupro e seus impactos devastadores na vida das vítimas.
Para combater a cultura do estupro, é fundamental que o Ministério da Educação, em parceria com as escolas e a mídia, promova campanhas educativas contínuas e abrangentes.
Essas campanhas devem desconstruir estereótipos de gênero, enfatizar o respeito à dignidade humana e a responsabilidade individual de não cometer violência, além de orientar sobre como denunciar e buscar apoio.
Somente com um esforço conjunto e contínuo será possível erradicar essa mentalidade perversa.</t>
  </si>
  <si>
    <t>Existe, de fato, uma “cultura do estupro” no Brasil?
É muito difícil responder a esta  questão, mesmo com os dados que  apresentados nos últimos dias, alguns dos cujos  , apesar de escandalosamente errados, terem provocado comoção nacional.
O repúdio manifestado à divulgação dos dados iniciais e incorretos da pesquisa do Ipea leva a crer que é um exagero falar em cultura do estupro,          ainda que a prática, abominável, ainda seja muito frequente no país.
Façamos algumas ponderações.
Não há dúvida que o machismo vigora no Brasil e é uma herança maldita da colonização ibérica.
Por outro lado, convem  observar um paradoxo: com a industrialização do país, com a entrada da mulher no mercado de trabalho, com a revolução de costumes dos anos 1960, o sexo feminino passou a gozar de uma liberdade que contrasta com essa mentalidade machista.
Além disso, vigora no país, para o bem e para o mal, um sensualismo exagerado, que tem como manifestação mais evidente o exibicionismo do corpo da mulher (vejam-se os casos do carnaval e da publicidade, por exemplo).
Está  aí os ingredientes          implosivos e explosivos do problema no nosso modo de ver: o conflito de mentalidades, o choque entre o machismo retrógrado e os avanços do sensualismo.
O choque, naturalmente, não havia de ficar no plano das ideias, num país cujos habitantes costumam agir duas vezes antes de pensar.
E o resultado é a violência do estupro, mais uma das violências que desfiguram o cotidiano no país.
A propósito, a  mais um elemento que não deve ser desprezado, para confirmar essa realidade paradoxal: o estupro é um crime que ofende aos outros criminosos (assassinos, ladrões, traficantes...), sendo notório que os estupradores, tão logo presos, acabam estuprados – o que provoca um saboroso gostinho de vingança aos espectadores do programa do Datena.
Tem  solução para essa realidade?
Tem de haver, claro, e a primeira medida a ser apontada é o combate eficiente à criminalidade de um modo geral.
Em segundo lugar, deve-se procurar reduzir a sensação de impunidade, bem como a própria impunidade, pois também para o crime vigora a relação custo/benefício.
Finalmente, em vez de fazer propaganda de inaugurações de obras faraônicas inacabadas, o governo podia investir em propagandas educativas incentivando o respeito à vida, ao sexo, ao homem e à mulher.</t>
  </si>
  <si>
    <t>Flash_Aval_25</t>
  </si>
  <si>
    <t>O patriotismo no Brasil só aparece quando tem copa do mundo, isso é um fato.
Ninguém liga pra bandeira em outros momentos, só quando o Brasil vai jogar e todo mundo fica verde amarelo.
É tipo uma febre que passa rápido e depois ninguém lembra mais.
A gente só pensa em futebol e esquece dos problemas do país, que são muitos e ficam de lado.
É uma coisa meio sem sentido, porque o país é nosso o ano todo, não só na copa.
A gente devia se importar mais com as coisas que são importantes de verdade.
Mas é mais fácil gritar gol e usar a camisa da seleção do que pensar em como melhorar o país.
Isso não ajuda em nada, só faz a gente parecer bobo.
Deveria ter um jeito de fazer as pessoas se importarem mais com o país o ano todo, mas não sei como fazer isso.
Talvez se os políticos fizessem coisas boas, mas eles não fazem.
Então ficamos só na copa mesmo.
Deveria ter mais gente pensando no Brasil, mas isso não acontece.
É um problema sério que ninguém resolve.
Precisava ter um plano pra isso, mas ninguém pensa nisso.
A gente só quer saber de ganhar a copa e depois tudo volta ao normal.
É uma pena.</t>
  </si>
  <si>
    <t>É verdade que a Copa do Mundo é um momento em que pessoas de países do mundo inteiro se unem para torcer e comemorar as vitórias e conquistas do time de seu país, além de promover o patriotismo e a união entre diversos grupos sociais visando o  mesmo objetivo: a vitória.
E o Brasil não foge a essa regra.
Mas é verdade também que a Copa "camufla" os problemas sociais e políticos brasileiros, e que muitas pessoas         só vestem a camisa do Brasil e dizem-se brasileiros "com muito orgulho e com muito amor" apenas em Copas do Mundo.
Nesse tempo de Copa do Mundo os telejornais, os jornais, as revistas e todos os meios de informação focam apenas os acontecimentos da Copa, ignorando, muitas vezes, a real situação brasileira.
Um exemplo bem claro disso é o reajuste salarial de mais de 50% para os senadores e judiciários  , que foi aprovado pela Comissão de Trabalho e Serviço Público nesse último 24 de junho.
Fatos como esse acontecem por detrás da camuflagem da "Copa do Mundo" e os brasileiros sequer pensam sobre o assunto.
Há também um aumento no consumo de certos produtos e grandes empresas como Nike, Adidas, Reebok, Mizuno, Sony, Coca Cola e Hyundai aproveitam deste evento para propagar e vender mais no mundo todo, ou seja, em nosso mundo capitalista globalizado, onde o consumo sem limites é estimulado, a Copa do Mundo não passa de mais uma ferramenta para acelerar as vendas e aumentar os lucros destas  empresas.
Então, ser patriota é muito mais do que vestir a camisa do Brasil na Copa e se dizer orgulhoso por pertencer ao país do futebol.
É participar das decisões do governo, é lutar pelos direitos, é ajudar quem precisa, é ser um eleitor consciente e bem informado, e é principalmente exercer seu papel de cidadão com sabedoria.</t>
  </si>
  <si>
    <t>Flash_Aval_26</t>
  </si>
  <si>
    <t>A liberdade de expressão é um pilar fundamental das sociedades democráticas, permitindo o debate aberto de ideias e a fiscalização do poder.
No entanto, a questão sobre seus limites é complexa e gera intensos debates.
É crucial analisar se essa liberdade deve ser absoluta ou se existem fronteiras que não podem ser transpassadas, especialmente quando envolve o respeito a grupos e crenças diversas.
Um dos argumentos centrais para a existência de limites reside na proteção contra discursos de ódio e na prevenção de danos a minorias.
A história nos mostra exemplos de como a disseminação de ideias preconceituosas pode levar à discriminação e à violência, como visto em regimes totalitários.
Portanto, permitir que a expressão irrestrita cause sofrimento ou incite à violência seria irresponsável e antidemocrático.
Por outro lado, argumenta-se que qualquer restrição à liberdade de expressão abre precedentes perigosos, podendo ser usada para censurar críticas legítimas e silenciar vozes dissidentes.
A dificuldade em definir objetivamente o que constitui uma ofensa ou um discurso prejudicial torna a imposição de limites uma tarefa delicada.
A experiência do jornal satírico Charlie Hebdo ilustra essa tensão, onde o humor provocativo gerou uma reação violenta, mas também debates sobre a própria natureza da liberdade de expressão.
Diante disso, é imperativo que a liberdade de expressão coexista com a responsabilidade.
Governos e plataformas digitais devem atuar para combater a desinformação e o discurso de ódio, sem, contudo, cercear o debate público.
Uma proposta seria a criação de mecanismos de moderação mais transparentes e participativos, com a sociedade civil tendo voz ativa na definição de diretrizes que protejam os vulneráveis e garantam um espaço seguro para a diversidade de opiniões, sem cair na censura.</t>
  </si>
  <si>
    <t>A liberdade de expressão tem se tornado mais veemente , principalmente por conta do fácil acesso às redes sociais.
Com isso, cada indivíduo se acha no direito de se expressar como quer  .
Muitas  vezes, ferindo          conceitos e princípios de outrem.
Não se atendo somente ao mundo virtual, a maneira de se expressar sem medições chegou às ruas , com manifestações impacíficas e até mesmo atentados, como o acontecido ao jornal "Charlie Hebdo", em Paris.
Aliás, o atentado a "Charlie Hebdo", nos mostra o quanto há          pessoas intolerantes a opiniões contrárias, e o quanto isso pode afetar a vida de pessoas que não compartilham de uma mesma idéia.
Além do mais, a repressão fere um direito previsto em constituição .
E          estamos assegurados tanto a opiniões, quanto a informações.
Porém, para um melhor convívio em sociedade, deve haver o máximo de respeito e ética possível.
Em vista do que fora apresentado,          é certo que cada indivíduo se expresse com respeito ao próximo, e sujeitado a ser penalizado          , caso interfira no direito e honra de qualquer pessoa que sinta-se ofendida.
E é fundamental que o respeito a opiniões divergentes, seja ensinado desde a infância, em casa e na escola.</t>
  </si>
  <si>
    <t>Flash_Aval_27</t>
  </si>
  <si>
    <t>A atuação policial em manifestações públicas é um tema recorrente e complexo, demandando uma análise aprofundada sobre os limites entre a garantia do direito de expressão e a manutenção da ordem.
Em janeiro deste ano, protestos no eixo Rio-São Paulo, desde os "rolezinhos" em shoppings até manifestações contra gastos públicos, evidenciaram a tensão entre civis e forças de segurança.
Nesse contexto, surge o questionamento: a polícia excede-se contra os manifestantes ou cumpre seu papel?
Argumenta-se que, embora a contenção de atos violentos seja legítima, a repressão indiscriminada a manifestações pacíficas configura um desvio de função, comprometendo a democracia.
Em primeiro lugar, é imperativo reconhecer a função estatal de garantir a segurança e a ordem pública, conforme preconiza o filósofo Thomas Hobbes em seu "Leviatã", ao defender o monopólio da violência pelo Estado para evitar o "estado de natureza".
Nesse sentido, a polícia possui o dever de intervir quando direitos de terceiros são ameaçados ou quando ocorrem atos de vandalismo, como a depredação de patrimônio público e privado, que, segundo o editorial da Folha de S. Paulo, tem se tornado uma "perigosa e inaceitável rotina".
A atuação policial, nesses casos, se pauta na necessidade de coibir transgressões e assegurar a paz social, um pilar para o funcionamento de qualquer sociedade minimamente civilizada.
Entretanto, a linha que separa o cumprimento do dever da arbitrariedade é tênue e, frequentemente, transposta.
O sociólogo Max Weber, ao discorrer sobre a dominação legítima, salienta que o poder do Estado deve ser exercido dentro de regras estabelecidas.
Quando a força policial se torna excessiva e desproporcional, como alegado por alguns meios de comunicação em relação aos protestos recentes, ela se descaracteriza como instrumento de ordem e se configura como ferramenta de opressão.
A truculência policial, notadamente em resposta a manifestações que visam a expor desigualdades ou contestar políticas públicas, como os "rolezinhos" que desafiaram o "apartheid dos templos de consumo", mina a confiança nas instituições e a própria legitimidade do Estado democrático.
Portanto, é fundamental que o poder público promova um controle mais efetivo sobre a atuação policial em manifestações.
Para tanto, o Ministério da Justiça, enquanto agente, deve implementar programas de capacitação contínua para as forças de segurança, focando em técnicas de controle de distúrbios que priorizem a não-violência e o respeito aos direitos humanos, por meio de treinamento e simulações realistas.
Tal ação visa a garantir que a polícia cumpra seu papel de protetora da sociedade, sem incorrer em abusos, assegurando assim o direito à manifestação pacífica e a manutenção da ordem com dignidade e civilidade.</t>
  </si>
  <si>
    <t>Os acontecimentos recentes na sociedade brasileira mostram que as revoluções e revoltas que se iniciaram em 2013 ainda não acabaram.
A população mostra seu descontentamento através de greves, passeatas e manifestações que infelizmente adquirem caráter violento e caótico.
A população sai às ruas com o intuito de fazer reivindicações, lutar por melhorias, porém não são todos os integrantes que agem de forma pacífica.
Muitos acreditam que a violência é o único modo de se fazer ouvir, de transformar uma rua em um caos tão grande que desperte a atenção de todo o país.
Manifestantes como os Black Blocs extrapolam no direito de democracia e ultrapassam o limite do bom senso.
A polícia tem que fazer seu papel, mesmo sendo também cidadãos que precisam de melhorias.
Essa luta violenta atinge inocentes, como no caso do cinegrafista Santiago Andrade, atingido por um artefato no Rio de Janeiro.
O artefato foi arremessado durante um protesto contra o aumento do valor do transporte coletivo.
A polícia militar afirma que o rojão foi atirado por vândalos, e especialistas dizem que a PM não utiliza esse tipo de artefato.
Desse modo, subtende-se  que o rojão partiu de vândalos.
O papel da polícia é manter a ordem pública, por meio de proteção para a população.
Manifestantes como os Black Blocs representam os interesses do restante da população que se manifesta pacificamente, visto que esses manifestantes buscam também por mais democracia e igualdade social.
Porém, o modo como esse protesto é realizado deveria ser observado com mais atenção, pois quem quer o bem da população não tomaria atitudes como essas.
Desse modo, é evidente que a polícia deve cumprir seu papel, e os manifestantes não devem exceder o limite dos protestos, já que a população deve lutar pelo bem da sociedade como um todo.</t>
  </si>
  <si>
    <t>Flash_Aval_28</t>
  </si>
  <si>
    <t>A eutanásia, prática que consiste em abreviar a vida de um paciente terminal, é um tema complexo e que gera intensos debates éticos e sociais.
A discussão se acirra quando se questiona quem detém o poder de decisão sobre o momento final da existência, especialmente em casos de sofrimento insuportável.
No Brasil, a legislação atual criminaliza a prática, mas a discussão sobre a autonomia do paciente e o alívio da dor em casos extremos se faz presente.
Por um lado, a defesa da vida é um princípio fundamental, resguardado pelo juramento médico.
Por outro, a compaixão e o desejo de evitar prolongar o sofrimento de um ente querido levam muitos a considerarem a eutanásia uma saída digna.
A questão é delicada e envolve valores morais, religiosos e pessoais, tornando a definição de um consenso um desafio considerável.
Um dos principais argumentos a favor da legalização da eutanásia baseia-se no direito à autonomia individual.
Acredita-se que cada pessoa, quando plenamente consciente e diante de uma doença incurável e dolorosa, deveria ter o direito de decidir sobre o fim de sua própria vida.
Essa perspectiva encontra eco em países como a Holanda e a Bélgica, onde a prática é permitida sob rigorosas condições, visando garantir o bem-estar do paciente e evitar sofrimentos desnecessários.
A ideia é que, em certas situações, a morte pode ser vista não como um fim trágico, mas como um alívio para quem não tem mais esperança de cura e vive em agonia constante.
Contudo, opositores levantam preocupações significativas, sobretudo quanto ao risco de abuso e à desvalorização da vida humana.
Há o receio de que a legalização possa abrir precedentes perigosos, levando a decisões precipitadas ou influenciadas por terceiros, em detrimento da vontade real do paciente.
Além disso, a formação médica, pautada na preservação da vida, entra em conflito com a ideia de intervir ativamente para ceifá-la.
A dificuldade em determinar o que constitui um sofrimento insuportável e a possibilidade de novos tratamentos surgirem também são pontos de atenção que merecem ponderação.
Diante disso, é imperativo que a sociedade brasileira promova um debate amplo e informado sobre a eutanásia.
Para tanto, o Ministério da Saúde, em parceria com órgãos de ética médica e representantes da sociedade civil, deve criar fóruns de discussão para debater o tema, ouvindo especialistas e a população.
É fundamental que se estabeleçam diretrizes claras e critérios rigorosos, caso a legalização seja considerada, garantindo a proteção dos mais vulneráveis e assegurando que qualquer decisão seja tomada com base na dignidade humana e no respeito à vontade individual, sempre buscando o bem-estar do paciente.</t>
  </si>
  <si>
    <t>Qual o preço da vida?
Somos nós que decidimos a hora certa de morrer?
Essas são algumas perguntas frequentes e atuais que perduram desde  a Grécia Antiga.
O ser humano pode sim          escolher entre a vida e a morte , o maior problema são as consequências geradas por esse ato.
Em muitos casos, o paciente não tem autonomia suficiente para escolher o que é melhor para si; portanto, é necessário que a família decida.
Como no Brasil não é permitida a eutanásia , a espera é a maior dor do paciente, que sabe que vai morrer e está apenas esperando a hora para isso.
O correto seria o Brasil aderir a  eutanásia e não apenas a          ortotanásia , afinal, o ser humano é responsável por sua vida e se achar que não tem mais força para ficar numa cama sofrendo, ele pode decidir morrer, o que não se pode é obrigá-lo a passar por tal situação.
Países mais evoluídos que o nosso, como Estados Unidos e Holanda , há um bom tempo aceitam a eutanásia, portanto o Brasil deve seguir o que esses países fazem: dar o direito a cada indivíduo de escolher entre a vida e a morte, diminuindo assim a dor da família.</t>
  </si>
  <si>
    <t>Flash_Aval_29</t>
  </si>
  <si>
    <t>O lixo é um problema muito grande na sociedade hoje em dia, principalmente por causa de tanta coisa que a gente compra e joga fora.
As pessoas produzem muita coisa que vira lixo, como embalagens e restos de comida, e isso vai se acumulando em todo lugar.
É difícil saber o que fazer com tanto lixo, e muitas vezes ele acaba em lugares que não devia, prejudicando o meio ambiente e as pessoas.
Muita gente não pensa de onde vem o lixo que produz e nem se separa ele direito.
Isso acaba indo para os lixões, que são lugares feios e que fazem mal para a saúde.
As pessoas que trabalham com lixo, os catadores, muitas vezes vivem em condições ruins e dependem desse material para sobreviver, o que é muito triste.
Eles deveriam ser mais valorizados.
Alguns filmes mostraram a vida dessas pessoas e como elas são fortes, mesmo vivendo com o lixo dos outros.
Isso faz a gente pensar que é preciso fazer alguma coisa para mudar essa situação.
Não é justo que algumas pessoas vivam assim enquanto outras produzem tanto lixo sem se importar.
Por isso, é importante que cada um faça a sua parte, pensando em como diminuir o lixo e em como descartar ele direito.
A gente precisa cuidar melhor do nosso planeta e pensar na cidadania, que é ser responsável pelas nossas ações e pelo que deixamos para os outros.
Todos temos que ajudar.</t>
  </si>
  <si>
    <t>o  lixo tem sido um dos problemas mais comuns, pois além de          serem depositados em céu aberto, prejudica a saúde da população.
E todo esse lixo vai para lugares incorretos, principalmente nos subúrbios, muitos deles são jogados nas ruas e em lugares como terreno vazios, mas como reverter essa situação?
primeiramente  a população tem que ter conciência que  todo lixo deve          ser separado dos recicláveis com lixo orgânico, vidros etc.
E esses lixões na maioria das vezes os que durariam uns 10 anos com todo esse lixo que saiem  das nossas casas e que nao  são separados, vai durar menos de 5 anos.
Nas escolas e até no trabalhos deve ter palestras educativas a respeito do lixo, mostrando como os catadores de lixo sofrem com a nossa irresponsabilidade, e se continuar assim daqui uns 30 anos nao  vai mais haver          lugar para construir lixões pela cidade.
Se todos nos cidadões separar  adequadamente todo o lixo que saiem de dentro de  nossas casas, se cada um de nós fazer  a nossa parte, até nos poderemos respirar melhor e todas essas doenças que vem surgindo vai  diminuir, por mais que nós nao estejam  em contato direto com o lixo, mas e  bom lembrar que essa poluição vem pelo ar.
E é bom pensar nas pessoas que trabalham com o lixo e vivem disso.</t>
  </si>
  <si>
    <t>Flash_Aval_30</t>
  </si>
  <si>
    <t>Atualmente fala-se muito sobre as mudanças climáticas e sua suposta causa: os efeitos da ação humana causando impactos no meio ambiente.
O que temos acompanhado no decorrer dos últimos anos são terremotos, tufões, furacões, tsunamis, enchentes, entre outros fenômenos que vêm nos alertar que algo de errado está acontecendo.
Da mesma forma que muitas organizações hoje buscam encontrar mecanismos para reduzir os impactos causados ao meio ambiente, por conta de seus produtos e processos, quando pensamos no desenvolvimento econômico do Brasil, devemos pensar no crescimento alinhado a sustentabilidade.
A descoberta do pré-sal, que segundo o presidente Luiz Inácio é o bilhete premiado para que o nosso país possa caminhar rumo ao desenvolvimento econômico, é um exemplo a ser analisado, pois há alguns fatores que devem ser considerados para que não ocorra um desastre ambiental como recentemente acompanhamos.
Por encontrar-se em uma região de tamanha profundidade, é necessário que desenvolva-se  uma tecnologia adequada para que durante a extração do petróleo não ocorra o que aconteceu no golfo do México, o qual foi o segundo maior vazamento de petróleo até então registrado.
Desta  forma percebemos que pensar somente do desenvolvimento da economia põe em risco a vida do ecossistema.
É uma via de mão dupla e para tanto requer que se encontre um equilíbrio.
Os países têm demonstrado preocupação com o crescimento sustentável e por esta razão têm buscado desenvolver políticas socioambientais.
O Brasil, por exemplo, possui usinas de energia eólica, que ainda requerem investimentos, mas são uma maneira de reduzir os poluentes que aumentam o buraco na camada de ozônio, que como sabemos tem causado o aquecimento global.
O que na verdade devemos pensar não é em um fato isolado, se há erros nas informações que são publicadas ou não, precisamos pensar no contexto geral.
Se for possível alinhar o crescimento econômico do Brasil e a preocupação com o meio ambiente, de fato estaremos trilhando o caminho para o sucesso, caso contrário nadaremos e morremos na praia.</t>
  </si>
  <si>
    <t>O Brasil hoje vive um dilema complicadissimo entre cuidar do meio ambiente e querer crescer economicamente.
Muita gente pensa que pra ter mais dinheiro, precisa desmatar e usar os recursos naturais sem pensar nas consequências.
Isso é algo que a gente vê muito em notícias, que o desmatamento na Amazônia tá muito alto e isso prejudica o planeta.
Por outro lado, tem gente que diz que a gente precisa dessas coisas pra gerar emprego e renda, e que se não fizer isso, o país não vai pra frente.
É verdade que o clima tá mudando e isso é um problema sério, a gente vê isso com as secas e as chuvas fortes que acontecem.
Mas será que as soluções que os cientistas propõem são as melhores pro Brasil?
Às vezes parece que eles querem que a gente pare tudo pra salvar o planeta, mas isso não resolve o problema de quem precisa trabalhar e ganhar a vida.
A gente precisa de um equilíbrio, mas nem sempre é fácil achar.
Outra coisa é que tem muita discórdia sobre essas coisas de meio ambiente.
Uns dizem que é tudo culpa do homem e que a gente tem que mudar tudo, outros falam que não é tão grave assim ou que os dados não são tão confiáveis.
Essa confusão toda dificulta saber o que é certo e o que é errado, e aí fica mais difícil tomar decisões importantes pro país.
Fica uma bagunça.
Por isso, o governo precisa pensar bem antes de decidir.
Talvez devia olhar mais pro que o povo precisa no dia a dia, e não só pro que os relatórios internacionais dizem.
É importante pensar no futuro, mas sem esquecer do presente e de como as pessoas vivem.
Tem que achar um jeito de fazer as duas coisas funcionarem juntas, senão ninguém fica feliz.</t>
  </si>
  <si>
    <t>Flash_Aval_31</t>
  </si>
  <si>
    <t>A proibição do castigo físico é um assunto que divide opiniões na sociedade.
Muitas pessoas acham que os pais devem ter o direito de educar seus filhos como acharem melhor, mesmo que isso inclua dar umas palmadas.
Para elas, isso faz parte da disciplina e ajuda a criança a aprender o certo e o errado.
Argumentam que o governo não deveria se meter na forma como as famílias se organizam e educam seus filhos, pois isso pode enfraquecer a autoridade dos pais.
Esses argumentos são baseados em costumes antigos e na ideia de que o que funcionou para eles, deve funcionar para as novas gerações.
Acredita-se que a palmada é uma forma rápida de resolver problemas de comportamento, sem precisar de muita conversa ou paciência.
Por outro lado, há quem defenda a proibição, argumentando que castigo físico pode machucar as crianças, tanto fisicamente quanto emocionalmente.
Dizem que violência gera violência e que educar com agressão pode levar a problemas maiores no futuro, como violência na vida adulta.
Essa visão se baseia na ideia de proteger as crianças e garantir que elas cresçam em um ambiente seguro e sem medo.
Acredita-se que existem outras formas de educar, sem precisar bater, como conversar, explicar e dar o exemplo.
A proibição seria uma forma de o Estado intervir para proteger os mais vulneráveis.
É importante pensar se o governo tem condições de fiscalizar e garantir que essa lei seja cumprida em todas as casas.
Acredita-se que a fiscalização pode ser difícil e que muitos casos podem não ser descobertos.
Além disso, surge a dúvida se essa lei não acaba tirando a liberdade dos pais de decidirem sobre a educação de seus filhos.
A discussão é complexa, pois envolve valores familiares, direitos das crianças e o papel do Estado na sociedade.
A lei pode ser um passo importante, mas é preciso pensar em como ela será aplicada na prática e quais serão as consequências para as famílias.
Em resumo, a proibição do castigo físico é vista por alguns como uma interferência indevida na vida familiar e por outros como uma medida necessária para proteger as crianças.
Acredita-se que a educação dos filhos é uma responsabilidade dos pais, mas que essa responsabilidade deve ser exercida sem violência.
A sociedade precisa encontrar um equilíbrio entre o respeito à autonomia familiar e a garantia dos direitos das crianças, buscando sempre o bem-estar e o desenvolvimento saudável dos pequenos.
É um debate que ainda vai continuar e precisa de mais reflexão de todos.</t>
  </si>
  <si>
    <t>O recente projeto de lei contra as palmadas traz à tona e nos faz  refletir a respeito da eficiência e das consequências do uso da chamada         "palmada pedagógica" como forma de educação as  crianças brasileiras.
A maioria da população é a favor da palmada, mas nas devidas proporções.
Criança não vêm  com manual de instrução           e cada um  tem seu modo de compreender e reagir aos métodos educativos.
Primeiramente, é necessário diferenciar claramente o que é palmada do que é agressão , há pais que agridem seus filhos tanto moralmente quanto fisicamente  buscando uma forma de extravasar ódio e raiva.
Isso é errado!
Vale lembrar que a gerações atrás  a punição física era utilizada dentro das salas de aula foram proibidas  .
Parece que hoje o Estado quer limitar a autoridade paterna na educação familiar.
É uma invasão do Estado na vida privada e fere gravemente a autoridade dos pais dentro de suas próprias casas.
Além de todo este tumulto e fuzuê , parece que  é               só mais uma das leis Petistas  que só vão ficar no papel (ainda bem) e tiram a atenção do povo para outros assuntos de maior importância.
Não cabe ao Estado criar nosso filhos, cabe a nós.
Cada um conhece e sabe "o modo de domar a fera que tem em casa" .
Não deixemos o Estado entrar em nossas casas e intervir em assuntos familiares, principalmente educativos.</t>
  </si>
  <si>
    <t>Flash_Aval_32</t>
  </si>
  <si>
    <t>O terrorismo é uma coisa muito ruim que acontece no mundo e que as pessoas tem medo.
No Brasil, a gente tem que ficar esperto porque pode acontecer também, igual aconteceu em outros lugares.
É importante que as autoridades façam alguma coisa para proteger a gente dessas coisas ruins que os terroristas fazem.
Eles querem chamar atenção para as ideias deles com violência.
A Copa do Mundo e as Olimpíadas vão acontecer aqui e isso pode ser um problema.
As pessoas ficam com medo de ir nesses eventos por causa disso.
A gente precisa de segurança.
As leis precisam ser mais fortes para punir quem faz isso.
Se não tiver lei, não tem como prender.
Tem que ter mais polícia e gente preparada.
Não sei se o Brasil tá preparado de verdade, mas precisa estar.
Porque se acontecer alguma coisa, vai ser feio.
As autoridades deveriam fazer mais para garantir a segurança de todo mundo.
Talvez criar um grupo especial para lidar com essas ameaças.
Mas também não adianta ficar só falando, tem que fazer.
E quem sabe assim a gente fica mais tranquilo.
Mesmo assim, o medo existe.
É importante que as pessoas não se descuidem.</t>
  </si>
  <si>
    <t>Flash_Aval_33</t>
  </si>
  <si>
    <t>A escola tem um papel importante na sociedade, pois é onde as crianças e jovens aprendem muitas coisas.
Uma dessas coisas é a língua que falamos.
Existem diferentes jeitos de falar, que chamamos de variantes linguísticas, e também a norma culta.
A escola precisa decidir como lidar com isso, porque é um assunto complicado.
Não é todo mundo que sabe falar certinho, e isso pode causar problema.
A norma culta é importante porque ela é usada em situações mais sérias, como no trabalho ou em documentos oficiais.
Se a pessoa não sabe usar a norma culta, ela pode ter dificuldade em se comunicar bem nessas situações e pode até ser mal vista.
Por isso, a escola tem que ensinar a norma culta para que todos tenham mais chance de se dar bem na vida.
É como aprender a ler e escrever, é fundamental.
Por outro lado, as variantes linguísticas são o jeito que as pessoas falam no dia a dia, com a família e os amigos.
Essas formas de falar são importantes também, porque mostram a cultura de cada região ou grupo de pessoas.
Proibir as variantes na escola seria como dizer que o jeito de falar de muita gente está errado, o que não é justo e pode deixar os alunos chateados.
A escola deveria respeitar isso.
Então, a escola deve encontrar um meio termo.
Ela precisa ensinar a norma culta para preparar os alunos para o futuro e para situações formais, mas também precisa valorizar e respeitar as variantes linguísticas que os alunos já usam.
Assim, os alunos aprendem a diferença e podem escolher qual jeito de falar usar em cada momento, mostrando que sabem se adaptar.
É um equilíbrio que ajuda todo mundo.</t>
  </si>
  <si>
    <t>A escola é o local em que a sociedade ensina a seus novos membros noções sobre o mundo, sobre a sociedade, sobre a cultura e sobre as ciências.
É nela que se dissemina o conhecimento.
Mas qual é o conhecimento que se deve ensinar?
O dilema em que se encontra a escola sobre que português ensinar se originou de um suposto erro de gramática em um livro que deveria ensinar somente a norma culta.
No entanto, tal livro depois foi se saber que somente demonstrava o falar coloquial e não o formal.
Qual deve ser a posição da escola neste dilema?
A escola como fonte primária de saber não deve se restringir somente a  norma culta, o que não significa que deve ser dada demasiada ênfase a  norma coloquial,  deve sim, ponderar o ensino de forma a apresentar a forma coloquial sem que esta seja empecilho para a apresentação da norma culta.
A forma coloquial não é um erro, deveras  para os linguistas a noção de erro, significa  algo específico: ?a ocorrência de formas ou construções que não fazem parte, de maneira sistemática, de nenhuma das variantes de uma Iíngua?, as palavras são de Sírio Possenti (professor no  Departamento de Linguística da Unicamp).
Ou seja, o falar informal é uma das variantes da língua e como tal deve ser respeitado.
O que se deve observar é que ensinar a norma culta não é excludente dos demais tipos de normas, apenas se observa que tal ensino pode ser dado de outras formas, conquanto a norma culta tem que ser aprendida na escola onde seu domínio é maior.
Os extremos sempre são motivos de discussão, enquanto  se pode conciliar porquê  não o fazer ?</t>
  </si>
  <si>
    <t>Flash_Aval_34</t>
  </si>
  <si>
    <t>A atuação policial em manifestações públicas é um dilema recorrente na sociedade brasileira, suscitando debates sobre os limites da ação estatal e o direito de expressar discordâncias.
Em cenários de crescente efervescência social, como os observados em protestos recentes, a linha tênue entre a manutenção da ordem e o abuso de poder torna-se um ponto crítico de análise.
Questiona-se, portanto, se a força empregada pelas forças de segurança configura um cumprimento estrito de seu dever ou um excesso que cerceia direitos fundamentais.
Para elucidar essa complexa questão, é imperativo examinar tanto a responsabilidade do Estado em garantir a segurança quanto a legitimidade dos atos de protesto, considerando a necessidade de um equilíbrio democrático.
Diante desse contexto, argumenta-se que a polícia frequentemente excede seu papel, e que a repressão desproporcional inibe a participação cívica e a própria democracia, ao passo que a violência de grupos específicos não justifica a generalização de medidas autoritárias.
É notório que o poder público, ao assegurar o monopólio legítimo da violência, deve atuar de forma a proteger a coletividade, sem, contudo, suprimir a liberdade de expressão e de reunião, pilares de uma sociedade democrática.
A história, desde a formação do Estado, demonstra que o controle sobre as forças de segurança é essencial para evitar que se tornem elas mesmas fontes de opressão e violência contra os cidadãos, como assevera Hélio Schwartsman.
A truculência policial, observada em diversas manifestações, como as que ocorreram em São Paulo, reflete uma falha no controle estatal e pode gerar um efeito contrário ao desejado, incentivando a propagação de movimentos sociais, conforme apontam Giuseppe Cocco e Adriano Pilatti.
O vandalismo e a depredação de patrimônio, embora inaceitáveis e configurando crimes, não devem servir como justificativa para a repressão generalizada e desproporcional, que anula o direito legítimo de protesto pacífico.
Nesse sentido, o Estado deve garantir que a polícia atue com base na legalidade e proporcionalidade, utilizando a força de maneira excepcional e estritamente necessária.
Para tanto, o Ministério da Justiça e Segurança Pública, em parceria com as secretarias estaduais de segurança, deve promover treinamentos continuados focados em direitos humanos e técnicas de controle de distúrbios, visando a desescalada do conflito.
Como ação, é preciso implementar protocolos claros de atuação policial em manifestações, definindo limites de uso da força e garantindo a identificação de todos os agentes envolvidos.
O meio para tal se dará por meio de manuais de conduta e câmeras corporais, que aumentarão a transparência e a responsabilização.
O efeito esperado é a redução de casos de violência policial e o aumento da confiança da população nas instituições de segurança.
Ademais, é fundamental que a Corregedoria da Polícia atue de forma rigorosa e independente na apuração de denúncias de excessos, garantindo que os responsáveis sejam punidos, o que fortalece o Estado de Direito e a cidadania.</t>
  </si>
  <si>
    <t>A polícia, em um estado democrático como é o caso do Brasil, desempenha um papel muito importante: o controle social.
Na qual  busca manter a ordem pública e zelar pela propriedade, liberdade e segurança individual e coletiva.
Todavia, várias situações ocorridas nos últimos dias ínsita  o questionamento: Esta  corporação é sinônimo de segurança ou insegurança pública?
No transcorrer do ano de 2013 e início de 2014, a população brasileira foi às ruas mostrar suas insatisfações diante de várias situações e realidades.
Neste aspecto cabe a essa corporativa  prezar pela liberdade de manifestação, bem como proteger o patrimônio público e privado, que na maioria das vezes é danificado por vândalos que se aproveitam do grande número de pessoas para cometerem crimes.
O grande número de manifestantes dificulta o trabalho de polícia, que em situações extremas opta por atitudes que são mal vistas pela sociedade.
Mas que  para a situação  são cabíveis e necessárias, ainda que vá  contra a legitimidade do movimento.
Apesar de frequentemente vermos em meios de comunicação casos de policiais que se excedem na repreensão  , estes  fatos ainda são exceções e, os  infratores devem ser punidos.
Entretanto isso não é motivo para desmoralizar todo o papel da junta  policial.
Por mais que a atuação da polícia seja muito contestada, esta ainda deve ser vista como sinônimo de segurança pública.
No caso das manifestações é necessário um melhor treinamento da corporação de  como agir em meio a um grande número de pessoas e saber identificar e conter e punir os causadores da baderna  .</t>
  </si>
  <si>
    <t>Flash_Aval_35</t>
  </si>
  <si>
    <t>Desde as ultimas  décadas,         a sociedade contemporânea presencia um aumento gradativo na escala da produção industrial somado a uma renovação na dinâmica dos hábitos de consumo.
É notório que a modernização desses hábitos trouxe, em muitos sentidos, mais comodidade e praticidade ao dia-a-dia.
A grande variabilidade dos produtos disponíveis ao consumidor, proporcionada em grande parte pelos avanços tecnológicos, elevou o nível de consumo à  patamares inimagináveis em épocas passadas.
Todavia, diante dessa realidade, nos deparamos com a primordial questão: como lidar com a quantidade excessiva de lixo gerada atualmente, tendo em vista a ameaça aos ecossistemas na qual esse lixo constitui-se  ?
Sob forma orgânica ou sintética, o lixo produzido nos grandes aglomerados urbanos,  não encontra           , na maioria das vezes, a destinação necessária para que o bem-estar da sociedade e a preservação ambiental sejam assegurados.
Os chamados aterros sanitários estão cada vez mais saturados, e as medidas de reaproveitamento do lixo ocorrem de forma paliativa ou em baixa escala.
Outro problema recorrente nos dias de hoje é a produção desenfreada do lixo altamente tóxico proveniente de aparelhos eletrônicos, que quando descartado diretamente na natureza pode contaminar lençóis freáticos e causar sérios danos à saúde humana.
Apesar da existência de projetos como a coleta seletiva e a redução da produção de materiais à base de polietileno (como as sacolas plásticas), deve-se ressaltar que uma melhoria efetiva nesse contexto só é viabilizada por meio da maciça conscientização social unida à  medidas criteriosas por parte do poder público.
Dessa forma, o financiamento, por parte do governo, de pesquisas em universidades que visem à criação de formas eficientes de reciclagem é algumas  das alternativas para que os males causados pela produção de lixo sejam atenuados.
Ademais, é necessário a valorização  social das medidas que levem ao desenvolvimento sustentável, dentre elas: a troca de aparelhos eletrônicos somente quando necessário, reaproveitamento de materiais domésticos e a preferência pela utilização de materiais biodegradáveis.</t>
  </si>
  <si>
    <t>A sociedade de consumo contemporânea, marcada pela obsolescência programada e pelo desejo incessante por novidades, gera um volume de lixo sem precedentes, o que impõe desafios ambientais e sociais urgentes.
Essa problemática, intrinsecamente ligada à produção e ao descarte acelerados, evidencia uma relação predatória entre o desenvolvimento econômico e a sustentabilidade ecológica.
Dessa forma, é imperativo analisar as causas estruturais desse acúmulo e propor soluções eficazes para mitigar seus impactos devastadores, considerando tanto a responsabilidade individual quanto a coletiva.
Os argumentos centrais residem na cultura do descartável, que incentiva o consumo excessivo, e na ineficiência dos sistemas de gestão de resíduos, incapazes de lidar com a escala do problema.
A filosofia de Zygmunt Bauman sobre a "sociedade líquida" lança luz sobre a efemeridade dos bens e das relações, refletindo a própria natureza do consumo moderno, onde a durabilidade é sacrificada em prol da novidade constante.
Paralelamente, a história das políticas ambientais demonstra que medidas isoladas, como a proibição de sacolas plásticas, embora bem-intencionadas, frequentemente esbarram em interesses econômicos e na falta de alternativas viáveis e amplamente adotadas, como apontado na discussão sobre a inconstitucionalidade de tais proibições.
Ignorar a magnitude da geração de resíduos não é apenas negligenciar um problema ambiental, mas também comprometer a saúde pública e a viabilidade futura do planeta.
Portanto, é fundamental que o Ministério do Meio Ambiente, em colaboração com a indústria e as prefeituras, implemente um programa nacional de educação ambiental focado na redução do consumo e na promoção da economia circular, utilizando campanhas de conscientização em massa e incentivos fiscais para empresas que adotem práticas sustentáveis.
Essa ação coordenada visa a desconstruir a cultura do descarte, promovendo a responsabilidade compartilhada e garantindo um futuro mais equilibrado para todos.</t>
  </si>
  <si>
    <t>Flash_Aval_36</t>
  </si>
  <si>
    <t>Muitos temas provocam divergência de idéias entre os integrantes de uma sociedade.
Este é o caso das discussões que envolvem a aplicação da pena de morte, da redução da menoridade penal e, em especial, da prática do aborto.
Este último constitui-se numa discussão antiga, porém, na atualidade, desponta com maior vigor.
A problemática que envolve a legalização do aborto não é de fácil resolução.
Isto evidencia-se pela posição distinta tomada por, pelo menos, dois grupos da sociedade: os que defendem a legalidade do aborto, como instrumento de valorização da capacidade de escolha da mulher e por questões ligadas as complicações médicas que podem advir de um aborto feito clandestinamente; e o grupo que é contra o aborto, pois acreditam que a vida de um ser humano está em jogo neste trâmite judicial.
O primeiro grupo parece se preocupar mais com as questões médicas envolvidas no aborto e o segundo prefere abordar o assunto de forma ética, dando maior importância à definição do ponto do desenvolvimento embrionário cuja vida se inicia .
Se por um lado é fácil verificar os problemas que podem surgir a partir de um aborto "mal feito",digo de forma clandestina, mediante as diversas estatísticas que apontam para um número crescente de gestantes que vão a óbito em virtude de complicações pós-aborto.
Do outro lado, definir o ponto em que o feto pode, verdadeiramente, ser considerado um ser humano tem sido um pouco mais complicado do que se imaginava.
O aborto se caracteriza, necessariamente, pelo inter-rompimento do processo de gestão e a destruição por completo do feto que, possivelmente, chegaria a ser um ser humano.
Independentemente, da fase embrionária no qual se encontrava, ele possuía condições de chegar ao nascimento.
Neste caso, ressalta-se a hipótese de estar discorrendo sobre fetos com desenvolvimento normal.
Neste ponto, a questão colocada em destaque é: o que diferencia uma criança recém-nascida, que não possui consciência de sua existência, de um feto, independentemente da sua fase de gestação?
Baseado nas leis vigentes na sociedade, o assassinato de uma criança logo após o parto, certamente, seria encarado como um crime.
E o que dizer de "assassinar" um feto?
Para esta última pergunta, ironicamente, ainda não há uma resposta definitiva.
Mesmo sem resposta absoluta, há medidas que devem ser tomadas, como por exemplo, o tratamento e atendimento médico das gestantes que realizaram o aborto e acabaram se envolvendo em complicações.
Contudo, não dá para tolerar, nem mesmo acobertar as irresponsabilidades de muitas garotas que por questões econômicas ou educacionais se envolveram em relações amorosas e acabaram vitimas de uma gestação indesejada.
Uma lei física universal é: para toda ação há uma reação, e pode ser traduzida como: toda causa provoca uma conseqüência, sendo perigoso desconsiderar a ligação eterna existente entre as duas.
Por ser difícil chegar a um veredito, o aborto ainda será muito discutido, portanto é necessário ampliar os estudos sobre o tema e buscar ter uma posição fundamentada.
Tomara que os políticos e legisladores façam o mesmo, pois, logo serão convocadas, pela sociedade, para dar um parecer definitivo sobre o assunto, tomara que estejam preparados para tomar esta importante decisão.
É só uma questão de tempo.</t>
  </si>
  <si>
    <t>O aborto é um assunto muito complicado e que as pessoas discutem bastante.
Para mim, acho que não deve ser liberado porque pode ser ruim.
Tem muita gente que fala que é questão de escolha da mulher, mas e o bebê?
Ele não tem culpa de nada e deveria ter uma chance de viver.
Muitas vezes as mulheres fazem aborto porque não tem condição de criar o filho, mas isso não é motivo pra tirar a vida dele.
A vida é um dom de Deus e ninguém pode tirar.
Além disso, se o aborto for liberado, acho que as pessoas vão começar a fazer aborto por qualquer coisa, tipo quando não quiserem mais o filho ou se ele nascer com algum problema.
Isso não é certo e pode virar algo normal, como se fosse um método pra não ter filho.
Acho que a sociedade precisa pensar melhor nisso e não só no que a mulher quer.
Tem que pensar no futuro e nas consequências.
Por isso, eu sou contra a legalização do aborto e acredito que a gente precisa achar outras formas de ajudar as mulheres que não querem ter filho, em vez de simplesmente liberar o aborto.
Assim, a gente protege a vida e ajuda quem precisa.</t>
  </si>
  <si>
    <t>Flash_Aval_37</t>
  </si>
  <si>
    <t>As chuvas que ocorrem nessa época do ano, mais visivelmente no estado do Rio de Janeiro, ocasionam, devido a  organização municipal enchentes e deslizamento de terra, o que agride a vida dos cidadãos.
O descaso das autoridades governamentais sobre a organização da malha urbana no Brasil, é  mais uma vez responsável         pela catástrofe que vem ocorrendo no últimos anos.
Segundo a diretora do Cred (Centro de Pesquisas sobre a Epidemiologia de Desastres) de Bruxelas na Bélgica, Debarati Guha Sapir, seria incorreto dizer que o problema é causado excepcionalmente pela natureza.
Pelo contrário, a estrutura indevida e precária das instalações urbanas é o que ocasiona o transtorno.
Pelo decorrer dos anos o que se percebe é a despreocupação do governo quanto a isso.
A construção de moradias em lugares inapropriados, topos de montanhas e morros, por exemplo, faz com que ocorra o deslizamento de terras, soterramento e desmoronamento de casas.
O entupimento de bueiros ou a falta desses, a instalação de casas às margens de rios e afluentes, provoca enchentes fazendo com que os moradores, em sua maioria de classe baixa, sofram as terríveis consequências.
O discurso abordado pelas autoridades responsáveis é a mudança climática, segundo  elas, o aquecimento global seria o grande causador das intensas chuvas de verão do Brasil.
De fato o único item em comum entre os dois assuntos, mudança climática e catástrofes devido às chuvas seria a agressão ao meio ambiente.
Nos dois casos o ser humano incide diretamente, em questão, o que ocorre é a canalização e mudança de curso de rios, impermeabilização do solo, entre outras coisas que impedem a água seguir seu curso natural.
Ações humanas modificam constantemente o rumo da natureza, e não há como ignorar os fatos e suas consequências.</t>
  </si>
  <si>
    <t>As enchentes que assolam diversas regiões do Brasil frequentemente levam à discussão sobre a causa principal desses desastres.
Embora o volume excessivo de chuvas seja um fator determinante, atribuir a culpa unicamente a esse fenômeno natural ignora a complexidade do problema.
A urbanização desordenada e a falta de infraestrutura adequada nas cidades brasileiras agravaram significativamente o impacto das precipitações, transformando eventos climáticos em verdadeiras catástrofes.
É crucial analisar como a ação humana contribui para a magnitude desses desastres.
Um dos principais argumentos que contestam a exclusividade da chuva como vilã é a forma como as cidades cresceram sem planejamento.
A ocupação de áreas de risco, como encostas e margens de rios, sem a devida atenção às consequências, torna a população mais vulnerável.
Em muitas metrópoles, o sistema de drenagem é ineficiente ou inexistente, o que impede o escoamento rápido da água, resultando em alagamentos prolongados.
Essa negligência na gestão urbana, somada à falta de investimento em saneamento básico, potencializa os danos causados pelas chuvas.
Outro ponto relevante é a falta de preparo do poder público para lidar com eventos climáticos extremos.
Enquanto países como a Austrália, mesmo diante de chuvas intensas, apresentaram um número de vítimas consideravelmente menor, o Brasil demonstra fragilidades em seus sistemas de alerta e resposta.
A construção de moradias em locais inadequados e a ausência de políticas públicas eficazes para reassentamento e prevenção perpetuam o ciclo de desastres.
Ignorar essas questões e culpar apenas a natureza é uma forma de omitir responsabilidades.
Diante do exposto, é evidente que as enchentes são um problema multifacetado.
Para mitigar esses desastres, é necessário um plano de ação conjunto.
O governo deve investir em planejamento urbano, fiscalizando e impedindo a ocupação de áreas de risco, além de aprimorar os sistemas de drenagem e alerta.
Paralelamente, é fundamental que a população seja conscientizada sobre os perigos e receba informações claras sobre como agir em situações de emergência, promovendo assim uma cultura de prevenção e segurança.</t>
  </si>
  <si>
    <t>Flash_Aval_38</t>
  </si>
  <si>
    <t>A viagem para marte é uma ideia muito louca, quem pensa nisso é maluco.
Ninguem pode ir para outro planeta assim de uma vez, é perigoso demais e pode dar errado.
A nasa disse que não é facil ir pra marte, e a empresa que quer levar gente não tem dinheiro pra isso.
Por isso, a ideia de ir pra marte é só uma alucinação.</t>
  </si>
  <si>
    <t>Presente na curiosidade popular das sociedades mais remotas , os planetas têm sido também estudados intensamente por cientistas.
Se desde a corrida espacial na década de 60, ocasião em que o homem foi à Lua, os cientistas não planejaram uma visita à  algum outro astro do espaço, atualmente há planejamento para uma viagem só de ida a Marte com passageiros voluntários de várias partes do mundo.
Porém está  ideia apresenta incoerências a serem debatidas.
Pelo fato de que jamais nem um  astronauta pisou o solo de Marte para efeito de estudo  percebe-se que levar          tripulantes para morar definitivamente no planeta vermelho é uma proposta contraditória .
Por que não haverá uma expedição antes?
Pois nem mesmo à Lua o homem voltou.
E apesar da preparação fornecida aos voluntários, o conhecimento sobre esse planeta pode ser insuficiente a  obter êxito, pois a compreensão que se tem dele corresponde à observação por sondas espaciais, o que por si só pode não evitar eventuais surpresas.
Também, a vida de qualquer organismo fora de seu habitat necessita de várias adaptações ocorridas no decorrer de muito tempo.
E apesar de o ser humano ter condições de criar um ambiente favorável à sua sobrevivência, muitas limitações lhes são impostas.
O habitante moderno da Terra é um ser extremamente social e habituado às facilidades proporcionadas pela tecnologia sofisticada.
Então, retirá-lo de seu ambiente implicaria uma readaptação total no modo de vida.
Além disso ter uma visão utópica de habitar fora da Terra, pode não ser tão fascinante quando na prática.
Embora seja uma forma de explorar o seu potencial intelectual, sua habilidade de compreensão do universo em que vive, o ser humano também tem uma enorme capacidade de desequilibrar a natureza de forma irreversível e os sistemas que regem a vida.
Os seus poderes podem ir além do planeta de origem, mas pode ser inviável a colonização de Marte, por, de repente, lhe trazer consequências semelhantes às que se manifestaram com a exploração da Terra.
Assim, a satisfação com que conquistou - e com o que certamente irá conquistar na Terra –  deve ser preferível ao homem à se aventurar novamente em mundo a ser desbravado.
Zelar pela vida e pela natureza já criada e para a qual ele se adaptou de maneira natural é melhor do que tentar viver artificialmente em um lugar que não se sabe se há vida.
Pois ele próprio adaptar-se e tentar adaptar o ambiente às suas necessidades seria          forçar a organização da natureza e da vida .</t>
  </si>
  <si>
    <t>Flash_Aval_39</t>
  </si>
  <si>
    <t>Em um país tão grande e com tantas caras diferentes é não só normal, mas aceitável o contraste de opiniões.
Porém esse sentimento avesso ao que se refere ao Brasil, provavelmente é um dos fatores que tem levado ele a ruína.
Cada dia que passa, podemos observar nos noticiários, ou mesmo abrindo o jornal, aspectos vergonhosos dos governantes que não possuem nenhum amor pelo nosso país tão pouco pela população que representa.
Parte dessa culpa está em nos, cidadão brasileiros, que votamos em branco por desacreditar que podemos fazer alguma diferença, ou mesmo por ter perdido a esperança em viver em um país melhor e mais justo.
A outra parte está naqueles que se omitem, daqueles que maldizem a nossa cultura, seja por vergonha de reconhecer quem são ou mesmo por ser de nacionalidade e costumes diferenciados.
É necessário que o brasileiro não seja apenas cidadão, mas sim o primeiro instrumento de mudança, para que juntos possamos transformar esse país em uma nação, onde cada um respeite as diferenças, e conviva com elas.
Somente assim seremos capazes de viver no país em que merecemos, não naquele em que cada um pense apenas no que é melhor para si mesmo.</t>
  </si>
  <si>
    <t>A questão de preferir produtos importados a nacionais é um tema que sempre chama atenção no Brasil.
Muitos jovens hoje em dia gostam mais de coisas de fora, como músicas gringas e filmes americanos, do que as coisas que são feitas aqui.
Isso acontece por vários motivos, talvez porque o que vem de fora parece mais moderno ou mais legal.
Essa preferência já existia antigamente, quando as pessoas discutiam sobre arte e cultura brasileira.
Por um lado, é compreensível que alguns jovens prefiram o que é importado.
A mídia globalizada mostra muitas novidades e tendências que vêm de outros países, e isso acaba influenciando o gosto das pessoas.
Às vezes, o acesso a produtos nacionais é mais difícil ou eles não são tão divulgados quanto os estrangeiros.
Isso faz com que a cultura de fora pareça mais atraente e desejável para a juventude que busca algo diferente.
Por outro lado, também tem muitos jovens que gostam bastante da cultura brasileira.
Eles curtem o som daqui, veem os filmes nacionais e se orgulham das nossas tradições.
Essa ligação com o que é nosso pode vir do convívio familiar, da escola ou simplesmente de uma admiração genuína pela riqueza e diversidade do Brasil.
É importante valorizar essas manifestações culturais que fazem parte da nossa identidade.
Em resumo, a preferência entre o nacional e o importado reflete um pouco de como o Brasil é.
É bom ter acesso a coisas de fora, mas não podemos esquecer do que é nosso.
Precisamos incentivar mais a produção cultural brasileira para que ela seja mais conhecida e apreciada por todos, mostrando a cara do nosso país para o mundo e para nós mesmos.</t>
  </si>
  <si>
    <t>Flash_Aval_40</t>
  </si>
  <si>
    <t>As manifestações populares que ocorreram recentemente no país trouxeram algumas mudanças, mas não se sabe ao certo se tudo vai melhorar.
Muita gente saiu às ruas para protestar contra várias coisas que estavam erradas, como a corrupção e a má qualidade dos serviços públicos, o que é um direito de todos cidadãos.
Os políticos, vendo tanta gente reclamando, falaram que iam fazer coisas diferentes e melhorar o país.
Eles prometeram que iam ouvir mais o povo e que as coisas iam mudar de verdade.
Isso foi bom porque mostrou que o povo pode fazer a diferença quando se junta.
Porém, é preciso ter cuidado para ver se essas promessas serão cumpridas ou se tudo vai voltar a ser como antes.
Muitas vezes, depois que a poeira baixa, as coisas continuam do mesmo jeito e ninguém se lembra mais dos protestos.
É importante que o povo continue atento e cobrando.
No final, o que muda mesmo é que as pessoas se sentem mais capazes de exigir seus direitos e mostrar sua opinião.
Mesmo que nem tudo se resolva de uma vez, o ato de protestar já é uma forma de o país acordar e tentar ser melhor para todos, mas ainda tem muito a ser feito.</t>
  </si>
  <si>
    <t>Os cidadãos brasileiros no Brasil e no mundo assistiram, repletos de alegria e indignação , a uma onda de protestos jamais vista na história do país.
Ao longo das últimas semanas, mais de um milhão de manifestantes foram às ruas em várias cidades brasileiras, de norte a sul, caracterizando um movimento de caráter nacional e democrático.
Mas o que será que muda após essa revolta popular?
O que começou como um movimento contra o aumento das tarifas de ônibus se transformou em reinvidicações mais amplas , contra a corrupção e em prol de melhores serviços públicos em geral.
Após assistirem atônitos ao povo brasileiro ir às ruas tantos  em protestos pacíficos como violentos, muitos políticos se viram acuados e forçados a atender pelo menos algumas exigências populares, tais como a revogação do aumento das tarifas de ônibus, a derrubada da Proposta de Emenda à Constituição (PEC) 37 e a aprovação do projeto que destina 75% das receitas do petróleo para a educação.
Ainda assim , os protestos continuam e, portanto, ainda é cedo para saber que novos rumos isso inspirará para o país ou se haverá mudanças efetivas .
Apesar da união dos brasileiros nas ruas, a pauta de reinvidicações é ampla e desorganizada.
Além disso, houve (e ainda há) episódios localizados de violência e banditismo que causaram temor à  princípio          , colocando em risco a imagem do movimento.
Mas talvez todos esses entraves sejam mesmo sinal de que "o gigante acordou" e que haverá menos tolerância à corrupção e abusos de poder daqui para a frente.
Só o tempo dirá.</t>
  </si>
  <si>
    <t>Flash_Aval_41</t>
  </si>
  <si>
    <t>Formar uma nação desenvolvida, que ofereça condições de uma vida digna para a população leva certo tempo, no entanto os anos se passam  e aspectos que deveriam melhorar só pioram.
Criminalidade, desigualdade social, fome, corrupção só aumentam a cada dia, sempre foi assim, e de certo modo o povo se acostumou com isso, perdeu as esperanças e se acomodou.
Na questão da politica  o Brasil realmente está uma palhaçada, é  difícil escolher um candidato que se pareça  eficiente, que demonstre conseguir fazer diferença.
É um pior que o outro, atualmente politico e ladrão é considerada a mesma coisa, é claro  que existem os honestos que buscam o melhor para seu povo, mas como diferenciar o certo do errado, mentir  e enganar qualquer um consegue.
Então porque  não colocar um palhaço no comando, pois  muitos dizem fazer algo serio  e só fazem palhaçada.
O povo brasileiro é um povo guerreiro, nossos pais e avos  conseguiram as eleições diretas, lutaram contra a ditadura militar, conquistaram nossa democracia, para agora nossa atual população não querer lutar para conseguir melhores condições.
O grande número de votos conseguidos por alguns personagens hilários demonstra a grande insatisfação do povo com a politica  e com os rumos que o Brasil vai tomar.
É fato que nossa nação tem conquistado certas melhorias, mas é um passo adiante e dois, três para trás.
A maioria das pessoas gosta de reclamar dos que estão no poder, mas se esquecem de quem os colocou lá.
Não adianta apenas reclamar é preciso tomar alguma atitude, mas uma atitude eficiente, e não algo que possa parecer engraçado, mas que traga consequências futuras.
É gostoso rir e contar piada, mas certos assuntos precisam e devem ser tratados muito seriamente.
Sendo assim se você quer mudar algo, faça alguma coisa, mas faça com competência, não se deixe ser alienado  , seja decisivo em suas escolhas e coloque muita força de vontade em seus ideais.
Para fazer a diferença é preciso primeiro mudar a si mesmo, depois influenciar aqueles ao seu redor, desse modo aos poucos construiremos um mundo melhor para todos.</t>
  </si>
  <si>
    <t>Votar em palhaço é uma forma válida de protestar porque a gente fica cansado dos políticos de sempre que não fazem nada.
Eles só prometem e não cumprem, então a gente quer mostrar que não tá gostando.
É um jeito de mandar uma mensagem pra eles verem que a gente tá de olho e não vai ficar quieto.
Assim, a gente se sente melhor por fazer alguma coisa, mesmo que seja engraçado.
Pois é, a politica ta complicada e o povo quer uma mudança, e votar num palhaço pode ser o jeito que acham de conseguir isso.
É que nem quando a gente fala algo que não gosta e ninguém escuta, aí a gente faz uma coisa mais chamativa pra ver se eles prestam atenção.
A ideia é que eles percebam que o povo tá insatisfeito e que precisam mudar o jeito de governar.
Se não mudar, a gente continua votando em quem a gente acha que vai fazer a diferença, mesmo que seja alguém diferente.
Talvez esse jeito diferente de votar faça eles pensarem melhor nas próximas vezes e darem mais valor pro que o povo quer.
A gente espera que isso traga alguma coisa boa pro futuro do país, mesmo que agora pareça só uma brincadeira.
A gente precisa que as coisas melhorem e não fiquem do mesmo jeito sempre, então qualquer coisa que mostre isso é bom.
A gente faz a nossa parte e espera que o resultado seja positivo pra todos nós.
Se não for, a gente tenta de novo no próximo ano.</t>
  </si>
  <si>
    <t>Flash_Aval_42</t>
  </si>
  <si>
    <t>A cada dia que passa surgem novas favelas nas cidades do nosso país, mas como sempre está presente a desigualdade social, em que poucos têm muito e muitos têm pouco.
As favelas estão aumentando a cada dia que passa e caminha junto com esse aumento a violência.
Muitos não gostam das favelas, pois elas estragam a paisagem da cidade, deixam uma má aparência ou até deixam a cidade suja, mas as favelas é a opção de algumas pessoas.
A violência nas favelas é muito grande, um exemplo é a favela da rocinha no Rio de Janeiro, onde os policiais têm que cercar a favela para tentar diminuir a "guerra" que ocorre entre traficantes, como, por exemplo, tiroteio, bala perdida, pessoas que estão passando pela favela e morrem .
Quem vive em favelas, muitas vezes não têm como se sustentar e está desempregado, passando necessidades, mas têm em suas casas até televisão.
Mas será que toda a população das favelas é formada por pessoas que não têm condições para se sustentar?
Nem sempre é isso que acontece, pois muitas das pessoas que lá habitam, escolhem esta opção por não precisar pagar impostos, fazem uma ligação clandestina de energia elétrica em suas casas, assim não têm gastos.
Nas favelas não existem apenas drogas, traficantes ou pessoas más, existem também pessoas boas que estão dispostas para melhorar a sociedade, mas a sociedade não vê esse lado bom da favela e prefere olhar apenas o lado mau.
Mas é impossível acabar com as favelas, pois não há nenhuma maneira de tirar as pessoas que moram nesses lugares mesmo não sendo uma forma legal de moradia é direito dessas pessoas ter um lugar onde morar e criar suas famílias.
Então é melhor as pessoas se acostumarem com as favelas e aceitarem que elas entrem de vez em nossa sociedade.</t>
  </si>
  <si>
    <t>A ideia de que as distâncias sociais entre favela e cidade desapareceram soa, à primeira vista, como um avanço civilizatório.
No entanto, ao analisar o contexto brasileiro, percebe-se que essa percepção é, em grande parte, superficial.
Embora haja uma maior visibilidade das comunidades carentes e uma integração cultural pontual, as desigualdades estruturais persistem, moldando a vida de milhões de pessoas e perpetuando um abismo social.
A realidade é que a "integração" muitas vezes se limita a um cenário midiático, sem alterar as condições de vida precárias.
Historicamente, as favelas foram criadas como espaços de marginalização, segregando populações pobres, imigrantes e ex-escravizados, como retratado na literatura determinista que os associava à animalidade.
Essa segregação servia para demarcar quem era o cidadão "legítimo" e quem era o excluído.
Apesar de no século XX as favelas terem ganhado força política e social, impondo-se ao centro urbano, a ideia de que as barreiras desapareceram é equivocada.
A urbanização e a expansão das cidades muitas vezes engoliram essas comunidades sem, contudo, oferecerem infraestrutura ou oportunidades dignas, mantendo um status quo de vulnerabilidade.
O repertório cultural contemporâneo, como telenovelas e o design, por vezes glamouriza a favela, apresentando-a como um local vibrante e até modelo de convivência.
A obra "Duas Caras", por exemplo, exibiu uma favela idealizada, sem os problemas sociais crônicos, e "Refavela" de Gilberto Gil celebra a energia comunitária.
Contudo, essa representação midiática não reflete a realidade da maioria dos moradores, que ainda enfrentam falta de saneamento básico, violência e precariedade no acesso à educação e saúde de qualidade.
A cidade "vai à favela" em busca de exotismo, mas não para resolver seus problemas estruturais.
Diante disso, é imperativo que o Estado atue para além da superficialidade midiática.
É preciso que o Ministério da Cidades, em parceria com o Ministério da Educação, promova políticas públicas consistentes de urbanização e inclusão social nas favelas, garantindo infraestrutura básica, acesso à moradia digna, saneamento e serviços públicos de qualidade.
Ademais, o Ministério da Cultura deve incentivar projetos que valorizem a cultura periférica de forma autêntica, combatendo estereótipos e promovendo o diálogo real entre centro e periferia, para que as distâncias sociais, de fato, comecem a desaparecer.</t>
  </si>
  <si>
    <t>Flash_Aval_43</t>
  </si>
  <si>
    <t>A responsabilidade pela escolha alimentar da população é um dilema multifacetado, entrelaçando esferas individuais, familiares e governamentais.
Em um cenário onde a oferta de alimentos ultraprocessados e a influência midiática massificam padrões de consumo prejudiciais à saúde, torna-se imperativo debater a quem compete primordialmente a salvaguarda do bem-estar nutricional coletivo.
Diante do crescente índice de obesidade e doenças crônicas associadas, a questão central reside em discernir os papéis e as obrigações de cada ator social na promoção de hábitos alimentares mais saudáveis, a fim de mitigar um problema de saúde pública de proporções alarmantes.
A influência do mercado e a autonomia individual, embora distintas, precisam ser harmonizadas em prol da saúde.
Nesse contexto, a atuação do Estado emerge como um pilar fundamental na regulação e na orientação.
Ao reconhecer a alimentação como um direito e a obesidade como um problema de saúde pública, o governo possui a prerrogativa de intervir, tal como proposto em 2008 pelo Ministério da Saúde com a tentativa de regulamentar a propaganda de alimentos com altos teores de açúcar, sal e gordura.
Essa iniciativa, embora não tenha se concretizado em lei específica, demonstra a compreensão da necessidade de criar um ambiente que favoreça escolhas mais saudáveis, especialmente ao proteger o público infantil, alvo frequente de publicidade de produtos com baixos valores nutricionais.
A omissão legislativa, como aponta o noticiário, permite a perpetuação de práticas insalubres, evidenciando a lacuna na proteção efetiva da população.
Paralelamente, a esfera familiar desempenha um papel insubstituível na formação de hábitos alimentares desde a infância.
A família é o primeiro núcleo de socialização e, consequentemente, o ambiente onde valores e práticas são transmitidos.
Como argumenta o sociólogo Pierre Bourdieu, o habitus – sistema de disposições duráveis adquirido pela internalização de estruturas sociais – é moldado nas primeiras experiências, incluindo as alimentares.
Portanto, cabe aos pais e responsáveis não apenas prover o sustento, mas também educar nutricionalmente seus filhos, oferecendo exemplos positivos e criando um ambiente propício ao consumo de alimentos saudáveis, resistindo, quando necessário, às pressões do mercado e às demandas por conveniência de produtos industrializados.
A educação alimentar em casa é um antídoto contra a desinformação e o marketing agressivo.
Diante do exposto, evidencia-se que a responsabilidade pela escolha alimentar da população é compartilhada, mas com ênfases distintas.
Para mitigar os efeitos nocivos de um ambiente alimentar saturado por produtos ultraprocessados, é crucial uma ação governamental robusta e uma conscientização familiar ampliada.
Assim, o Ministério da Saúde, em parceria com o Ministério da Educação, deve intensificar campanhas educativas contínuas em escolas e na mídia, com o intuito de informar sobre os malefícios do consumo excessivo de açúcares, gorduras e sódio, utilizando linguagem acessível e exemplos práticos do cotidiano.
Adicionalmente, o Congresso Nacional deve debater e aprovar leis que restrinjam a publicidade de alimentos não saudáveis direcionada ao público infantil, estabelecendo horários específicos e exigindo advertências claras, a fim de criar um cenário que verdadeiramente promova a saúde e o bem-estar da população.</t>
  </si>
  <si>
    <t>Vive-se na epoca onde  optamos por uma alimentação pouco saudável, para economizar tempo e pelos seus sabores.
Sem duvida  batatas fritas, hambúrgueres, são, mas  atraentes que outros alimentos, porém seu consumo exagerado trás  grandes pontos negativos como obesidade infantil e colesterol, o que nós  leva a pensar que cabe aos pais a reeducação alimentar dos filhos, incentivando-os ha  terem hábitos mais saudáveis.
Na sociedade atual não da  para nós  privar desses alimentos, porém se os pais estiverem preparados para dar uma boa orientação á  seus filhos de como podem levar uma vida mais saudável e mostrando-lhes que 5 milhões de crianças brasileiras já sofrem com a obesidade, esse número diminuiria, pois a partir do momento em que se tem conhecimento sobre o mal que nós  causa sabemos avaliar que isso é prejudicial, mas em muitos casos nem os pais estão preparados para passar uma boa orientação para seus filhos pois não estão atento as  informações que o produto trás  .
Os pais são os grandes responsáveis pela alimentação de seus filhos, pois entendem dos seus gostos e podem procurar a fazer um cardápio variado, deixando alimentos com altos teores de sódio, açúcar e gorduras de lado e incrementando, mas  alimentos saudáveis, sem duvida  uma criança que passa a consumir e gostar de alimentos saudáveis terá menos chances e se tornar dependente desses alimentos porque ela conhece seus riscos.
Para finalizar, é claro que não os pais não  podem proibir o consumo de batatas fritas, hambúrgueres e refrigerantes, contudo eles têm que por  limites a seus filhos orientando quando esses alimentos podem ser consumidos, os riscos que podem trazer de for consumido  frequentemente e como pode ser bom deixá-los de lado e experimentar comidas diferentes e saudáveis, além  disso é necessário uma maior atenção na hora da compras de produtos verificando suas informações.</t>
  </si>
  <si>
    <t>Flash_Aval_44</t>
  </si>
  <si>
    <t>O ensino a  distância tem, ou pelo menos deveria ter, objetivos positivos         .
Como por exemplo, levar o conhecimento acadêmico a lugares de difícil acesso e pro porcionar a po ssibilidade de uma graduação para pe ssoas que não tenham dis po sição de tempo para frequentar uma faculdade tradicional.
Contudo, com a grande oferta desses tipos de cursos nos dias de hoje, podemos observar a deturpação dos reais valores que deveriam ser oferecidos por essas entidades.
Estas, mostram-se muito mais voltadas ao lucro, devido à grande quantidade de interessados   um diploma com menor custo do que           o interesse em uma possível função social e educativa que deveriam proporcionar.
É certo que dentre elas exista uma minoria com cursos corretamente elaborados, com uma didática adequada, com conteúdo capaz de formar um profissional tão bom ou até mesmo melhor do que o de uma faculdade tradicional.
Mas grande parte, visa apenas o lucro, como uma empresa privada qualquer.
Com a ininterrupta evolução tecnológica que presenciamos hoje em dia, é cada vez mais frequente a mudança daquilo que por longos anos foi tido como certo e rígido.
Neste caso concreto, o método de ensino.
Não podemos negar, que o potencial de funcionalidade                 deste método de ensino é grandioso.
Porém, deveremos                 regulamentá-los e                 padronizá-los , para o bem de nossos futuros diplomados, consequentemente para nosso próprio bem.</t>
  </si>
  <si>
    <t>A ascensão dos cursos a distância e das universidades virtuais representa uma revolução paradigmática na educação, refletindo a crescente digitalização da sociedade contemporânea.
Essa modalidade, que rompe com as barreiras físicas da sala de aula tradicional, permite a democratização do acesso ao conhecimento, ao mesmo tempo em que suscita debates sobre sua efetividade e profundidade.
Nesse contexto, a análise crítica acerca do EAD se desdobra em duas vertentes principais: seu potencial como ferramenta acessível e flexível de aprendizado e as preocupações quanto à qualidade e à experiência formativa integral, demandando uma ponderação cuidadosa sobre seu papel no cenário educacional.
Em primeiro lugar, é inegável o papel do ensino a distância como catalisador da inclusão educacional, especialmente para aqueles cujas rotinas ou localizações geográficas limitam a participação em instituições presenciais, como mencionado por José Manuel Moran ao destacar a flexibilidade de tempo e espaço proporcionada pelas tecnologias interativas.
A possibilidade de conciliar estudo com trabalho e outras responsabilidades, aliada à diversidade de recursos multimídia e à interação em fóruns e chats, amplia o alcance da educação superior, permitindo que um maior número de indivíduos persiga seus objetivos acadêmicos e profissionais sem as restrições da presencialidade.
Contudo, a modalidade EAD também enfrenta críticas pertinentes, notadamente no que tange à superficialidade e à despersonalização do processo educativo.
A percepção de que o ensino a distância pode ser uma alternativa "barata" e menos engajadora, como sugere o relato do "aluno à moda antiga" no blog do Douglas, levanta questionamentos sobre a formação integral do indivíduo, que vai além da mera aquisição de conteúdo.
A ausência da vivência universitária, do contato direto com colegas e professores, e a potencial fragilidade na interação humana podem comprometer o desenvolvimento de habilidades socioemocionais e o senso crítico, aspectos fundamentais para a formação cidadã.
Diante do exposto, é imperativo que as universidades virtuais e os cursos a distância invistam em metodologias pedagógicas robustas e em mecanismos de acompanhamento discente que mitiguem as desvantagens inerentes à modalidade.
Para tanto, o Ministério da Educação, em parceria com as instituições de ensino, deve implementar diretrizes curriculares mais rigorosas para o EAD, focando na promoção da interação qualificada entre alunos e professores por meio de plataformas digitais avançadas e tutorias personalizadas.
Adicionalmente, é crucial que as universidades ofereçam programas de orientação para o desenvolvimento de competências digitais e de autonomia nos estudantes, garantindo que a flexibilidade oferecida não se traduza em isolamento, mas sim em uma experiência de aprendizado enriquecedora e completa, assegurando a qualidade e a relevância da formação obtida.</t>
  </si>
  <si>
    <t>Flash_Aval_45</t>
  </si>
  <si>
    <t>O Estado é, namaioria das vezes , o responsável pelo crescimento e pela evolução de uma sociedade, é  nele que          se elegem meios, podendo ser ou não justos e democráticos, de educar socialmente uma população.
Os recentes pedidos de intervenção militar fere  , em todos os sentidos possíveis, o          conceito atual de Estado que  vivemos.
O povo brasileiro, ou parte  , ao solicitar intervenção militar, mostra o quão a democracia atual do Estado é fraca  .
Uma democracia fraca é apenas um sintoma para  um Estado fraco, com uma economia fraca, é o início de um país que pode estar quebrando.
A democracia e seu preço são únicos, a maioria elege o melhor que acha, o perdedor é a minoria.
Quebrar o Estado atual com uma intervenção          é uma solicitação arriscada para o momento de crise que o Brasil enfrenta, e quem ama o seu país deveria pensar nisso antes de não aceitar o preço democrático.
Não há outro modo de se viver.
O poder na mão do Estado, de modo democrático, é um modo de ajustar as coisas, de dar um poder  para pessoas          que irão cuidar .
É como mãe e filho.
O Estado é a mãe, responsável por cuidar, e o filho é a população, quem é cuidado até uma certa parte, quando  se torna independente e aí, já educado  , entende os valores do Estado.
É difícil pensar em como seria a vida sem um Estado para controlar uma população.
Se o Brasil já está ruim o suficiente do modo atual, podemos imaginar como seria se fosse uma liberdade sem poderes, quem tomaria conta?
Quem iria criar leis, decidir metas, criar projetos?
Deve-se entender, então, que é indispensável a participação do Estado na vida das pessoas, de modo propositivo, na  qual tenha o objetivo de somar .
Manter o Estado Brasileiro forte vai ser difícil com as crises atuais, uma instabilidade econômica somada a problemas e insatisfação antidemocrática de alguns eleitores pode resultar em problemas futuros para o Brasil.</t>
  </si>
  <si>
    <t>O Estado é importante para o cidadão e para os países.
Ele faz muitas coisas que ajudam as pessoas no dia a dia.
Por exemplo, o governo cuida da segurança e também faz leis para que todos vivam em paz.
Sem o Estado, seria uma bagunça e as pessoas não saberiam o que fazer.
Algumas pessoas acham que o Estado atrapalha mais do que ajuda.
Dizem que ele gasta muito dinheiro e que às vezes as leis são ruins.
Eles preferem que as coisas sejam mais livres, sem tanta intervenção do governo.
Acredito que isso pode ser verdade em alguns casos, mas ainda assim o Estado é quem garante que as coisas funcionem.
O Estado tem um papel de proteger a população.
Ele deve garantir que todos tenham acesso a coisas básicas como saúde e educação.
Se o Estado não fizer isso, as pessoas mais pobres vão sofrer muito.
Por isso, ele precisa ser forte para ajudar quem precisa e manter a ordem no país.
No final, o Estado deve ser um aliado do cidadão.
Ele precisa ser justo e trabalhar para o bem de todos.
Se o governo for bom, a vida das pessoas melhora e o país fica mais forte.
É preciso que o Estado cumpra seu papel direitinho.</t>
  </si>
  <si>
    <t>Flash_Aval_46</t>
  </si>
  <si>
    <t>Quando se houve  falar em organismos transgênicos, quase sempre se lembra dos          alimentos industrializados e dos riscos que eles podem trazer à saúde.
Não obstante, essa tecnologia pode ser usada para fins positivos na engenharia genética , como, por exemplo, controlar epidemias e curar doenças através de vacinas ou outros métodos.
Apesar dos  alimentos transgênicos serem muito criticados, em alguns casos, eles podem ser benéficos para a saúde; Alguns  anos atrás, por exemplo, crianças de países orientais sofriam de cegueira noturna provocada pela falta de Retinol, a vitamina A, até que cientistas desenvolveram um arroz geneticamente modificado que continha essa vitamina e a incidência da doença se tornou praticamente nula.
Outro proveito que a mutação genética  pode trazer é o controle da dengue; Esse  método consiste em criar em laboratório mosquitos machos modificados, que quando cruzam com as fêmeas do Aedes Aegypti, produzem larvas que não chegam a idade adulta.
Testes mostraram resultados positivos, em que houve de 81% até 100% de redução na população de mosquitos da dengue.
Fica claro, então, que os organismos transgênicos, quando bem usados , trazem grandes vantagens para a sociedade, mas essa tecnologia também oferece riscos, portanto deve ser administrada com cautela pelas organizações responsáveis pela manipulação desses organismos modificados e o governo deve estipular medidas para conter abusos do uso do mesmo .</t>
  </si>
  <si>
    <t>Os transgenicos sao coisa nova e importante.
Eles servem pra muita coisa, tipo planta que cresce mais rapido e bicho que nao fica doente.
Isso ajuda a gente a ter mais comida e tal.
A ciencia fez isso pra resolver uns problemas.
Mas tem gente que nao gosta e fala que faz mal pra saude e pro meio ambiente.
Dizem que é perigoso comer essas coisas.
A gente tem que pensar bem nisso.
Acho que eles sao bons pra resolver problema de fome.
Mas tambem pode dar problema se nao usar direito.
Entao, temos que ter cuidado com os transgenicos.
O governo podia fazer umas regras melhores pra controlar isso.
Assim, a gente usa o que é bom e evita o que é ruim.
Mais pesquisa e fiscalização é bom.</t>
  </si>
  <si>
    <t>Flash_Aval_47</t>
  </si>
  <si>
    <t>A imprensa é muito importante numa sociedade porque ela fala as coisas.
Ela mostra o que tá acontecendo e as pessoas sabem.
Se não tivesse imprensa, a gente não ia saber de nada e o governo ia fazer o que quisesse sem ninguém ver.
Então ela é boa pra democracia porque deixa tudo claro.
A gente vê na televisão e nos jornais um monte de coisa errada que os políticos fazem.
Por causa da imprensa, eles têm medo de fazer coisa feia porque pode sair em todo lugar.
Isso é bom porque a gente não quer que roubem o nosso dinheiro e que façam coisas que não são certas.
A imprensa ajuda a gente a saber quem é bom e quem é ruim.
Mas às vezes a imprensa fala só coisa ruim e não fala das coisas boas que acontecem.
Tem gente que acha que isso é ruim porque deixa as pessoas tristes e achando que tudo tá errado.
A imprensa podia mostrar mais o lado bom das coisas também pra equilibrar e não deixar a gente só pensar no mal.
Por isso, a imprensa tem que continuar mostrando as coisas, mas com cuidado.
Ela tem que ser livre pra falar, mas também tem que pensar se tá falando só coisa ruim.
Se a imprensa for melhor, a democracia fica melhor também, porque as pessoas sabem mais e podem escolher melhor.
A gente precisa de informação pra poder votar certo e saber o que tá acontecendo.</t>
  </si>
  <si>
    <t>Estamos vivendo em uma sociedade cada vez mais democrática, onde a mídia tem papel primordial em se tratando de formar opinião.
Desde 1808, quando a família real veio ao Brasil, a imprensa não para de aumentar e expandir-se.
Hoje, são vários os tipos de meios de informação acessíveis em nosso país.
Há controversas  que indicam o mau uso desses órgãos em benefícios ao  poder público, mas nós temos o direito à liberdade de opinião.
Somos cada vez mais influenciados pela imprensa , e  com o aumento do uso da internet ela ganha valor e poder.
Uma figurinha carimbada  da mídia nos últimos anos são os políticos pérfidos, que enganam a população em benefício próprio e abusam do poder que lhe são atribuídos  .
Diversos meios como jornais, sites e a televisão trazem à tona essa realidade que era atribuída à Brasília  .
Mas, na verdade, ganhou o país e assume grandes proporções .
Portanto, não só de denúncias vive a imprensa, mas de fatos concretos que visam  informar o leitor/telespectador acerca de informações ali contidas.
Um papel insubstituível que mostra a realidade da nação sobre os fatos do dia-a-dia.
Em nosso cotidiano, estar bem informado             não é apenas uma vantagem sobre os demais, todavia é  uma obrigação de todos, visando conhecer o mundo e poder interagir com ele.</t>
  </si>
  <si>
    <t>Flash_Aval_48</t>
  </si>
  <si>
    <t>A discussão sobre a necessidade de leis mais rigorosas para controlar o consumo de álcool no Brasil é complexa e multifacetada.
Por um lado, o álcool é associado a momentos de lazer e socialização, sendo parte integrante de muitas culturas.
Por outro lado, o consumo desenfreado acarreta sérios problemas sociais, como violência, acidentes de trânsito e impactos na saúde pública, o que levanta o debate sobre a intervenção estatal.
Um dos argumentos centrais para o endurecimento das leis reside na prevenção de danos sociais e individuais.
O consumo excessivo de álcool está frequentemente ligado a comportamentos agressivos e impulsivos, culminando em violência, tanto em ambientes privados quanto públicos, como evidenciado em estatísticas de ocorrências policiais após eventos com liberação de bebida.
Além disso, a embriaguez ao volante é uma causa significativa de acidentes fatais, exigindo medidas mais eficazes para coibir essa prática perigosa.
Em contrapartida, a liberdade individual e a dificuldade em alterar hábitos culturais representam obstáculos à implementação de leis mais restritivas.
O álcool é parte de celebrações e momentos de descontração para muitos, e sua proibição ou restrição severa pode ser vista como uma afronta à autonomia pessoal.
A indústria de bebidas também exerce forte influência, e a associação do álcool a festividades, como visto em músicas populares, reforça a ideia de que o consumo é uma prática normalizada e desejável em determinados contextos.
Diante desse cenário, é fundamental que o Estado atue de forma equilibrada.
Uma proposta seria o reforço da fiscalização e da educação, com campanhas informativas sobre os riscos do consumo excessivo e a aplicação mais efetiva das leis existentes, como a que proíbe a venda a menores.
Adicionalmente, seria interessante discutir a responsabilização de estabelecimentos que falham na fiscalização do consumo em seus espaços, sem, contudo, cercear a liberdade de adultos em locais apropriados.
A educação e a conscientização, aliadas a uma fiscalização inteligente, podem ser caminhos para mitigar os problemas associados ao álcool.</t>
  </si>
  <si>
    <t>O alcoolismo é, sem dúvida, um dos maiores problemas de saúde pública no Brasil, e as medidas do governo para controlar o excesso na bebedeira sempre foram alvo de muitas discussões.
Neste momento, diante dos interesses econômicos de empresas ligadas ao patrocínio da Copa do Mundo da FIFA em 2014 no Brasil, fala-se em liberar o consumo de bebidas alcoólicas nos estádios de futebol durante os jogos, uma questão descabida e um desrespeito à saúde dos cidadãos.
Todos os estudos dos órgãos ligados à segurança pública que foram feitos nos arredores das arenas de futebol, após a proibição da comercialização e consumo de álcool, apontam uma redução considerável da violência entre as torcidas.
Por isso, não há nenhum motivo plausível que corrobore com a suspensão dessa medida proibitiva, considerada um avanço no sentido de preservar a segurança dos torcedores, bem com das famílias que frequentam os estádios.
É consenso que os eventos esportivos a serem realizados aqui no Brasil nessa década são altamente lucrativos e conferem ao país uma visibilidade sempre desejada no cenário internacional.
Porém, a legislação brasileira não deve estar ao dispor de interesses capitalistas de empresas parceiras da FIFA ou de qualquer outra instituição, sobretudo quando se trata da saúde e  segurança dos  filhos de sua soberania e também  dos visitantes de todo o mundo.
Em suma, o governo brasileiro deve manter-se firme na decisão de proibir tanto a venda como o consumo de bebidas alcoólicas nos estádios de futebol, independente das circunstâncias, a fim de proteger as pessoas e também reafirmar todas as outras medidas legais para controlar o alcoolismo.
A nós outros, cabe a consciência de que a embriaguez é plenamente desnecessária à diversão.</t>
  </si>
  <si>
    <t>Flash_Aval_49</t>
  </si>
  <si>
    <t>É preciso, inicialmente, observar que a maioria dessas campanhas são fantasiosas e ilusivas.
Podem até ajudar alguns eleitores à  escolher para quem dar o seu voto,          mas eles não saberão se esses candidatos irão cumprir o que prometeram , coisa que muitos não fazem.
Com essas campanhas , além dos  candidatos          ganharem 3.000 reais (informações da minha cidade), para realizar suas campanhas , ainda são retirados dos cofres públicos aproximadamente R$ 840 milhões para a exibição dos programas eleitorais na televisão e no rádio.
É necessário frisar, que  uma minoria assiste          essas propagandas .
Segundo um estudo da UFMG realizado em 2010, 43,2% dos eleitores não assistiam à propagandas gratuitas no rádio e na televisão.
Dos 54,4% que declaram acompanhar o programa eleitoral, 65% disseram ter assistido pelo menos uma vez por semana.
Não podemos esquecer que a propaganda eleitoral "gratuita" é na verdade paga pelos contribuintes, que contribuem para ter mais educação e saúde no país onde vivem, mais  , no lugar disso são investidos em políticos          , muitas vezes corruptos  que irão afastar cada vez mais esses desejos da população.
Nesse sentido o melhor a fazer seria diminuir os investimentos nesses políticos e investir mais nas necessidades básicas da população.
E a opção para os políticos seria fazer mais eventos sociais e comícios ao invés  de gastar dinheiro com propagandas para quase ninguém ver.</t>
  </si>
  <si>
    <t>A propaganda eleitoral na TV e rádio é algo que existe faz tempo no Brasil, e serve para os candidatos mostrarem o que eles querem fazer se forem eleitos.
Muitas pessoas acham que isso ajuda a escolher melhor o candidato, porque a gente vê as propostas e fica sabendo das coisas.
O tempo de cada um é dividido, e quem tem mais tempo de propaganda pode falar mais para as pessoas.
Por outro lado, tem gente que não gosta muito de assistir, acha chato e prefere ver outra coisa na televisão.
Às vezes, os candidatos falam coisas que não são verdade só para ganhar voto, e isso confunde a gente.
A propaganda é cara e nem sempre as pessoas prestam atenção de verdade no que está sendo dito, então não sei se é tão útil assim.
Eu acho que a propaganda eleitoral podia ser mais direta e honesta, sem tanta enrolação.
Se os candidatos falassem mais sobre os problemas reais do país e como eles vão resolver, seria melhor.
Mas nem sempre é assim, eles ficam brigando por tempo de TV e esquecem do que é importante para o povo.
Então, no fim das contas, a propaganda eleitoral serve para algumas coisas, mas também tem seus problemas.
Talvez seja bom para quem não conhece os candidatos, mas para quem já sabe em quem votar, não faz muita diferença.
Precisa pensar se vale a pena o dinheiro público gasto com isso, porque o resultado nem sempre é o esperado pela gente.</t>
  </si>
  <si>
    <t>Flash_Aval_50</t>
  </si>
  <si>
    <t>A imposição de restrições ao tabagismo em espaços públicos tem sido um tema de intenso debate, polarizando opiniões entre a necessidade de proteção à saúde coletiva e a defesa da liberdade individual.
Essa dicotomia se manifesta na tensão entre o autoritarismo estatal e o dever governamental de zelar pelo bem-estar de seus cidadãos, especialmente diante das comprovadas consequências nocivas do fumo passivo.
Nesse contexto, emerge a questão central: o combate ao fumo representa uma medida autoritária ou uma prerrogativa legítima do Estado em salvaguardar a saúde pública?
Para responder a tal questionamento, é imperativo analisar a intrínseca relação entre a saúde coletiva e o papel do governo, bem como as delimitações éticas da liberdade individual frente ao dano alheio, argumentando-se que a intervenção estatal, quando pautada em evidências científicas e respeito aos direitos fundamentais, configura-se como um dever governamental inalienável.
Em primeiro lugar, é crucial reconhecer que a saúde pública transcende a esfera privada do indivíduo, configurando-se como um bem comum que o Estado tem a obrigação de proteger.
A Organização Mundial da Saúde (OMS) cataloga o tabagismo como a principal causa evitável de morte e doença no mundo, e o fumo passivo é igualmente devastador, expondo não fumantes a substâncias cancerígenas e outros malefícios, como demonstrado por estudos que apontam níveis alarmantes de nicotina em não fumantes expostos à fumaça em ambientes de trabalho.
Essa realidade científica desmistifica a ideia de que fumar é uma escolha puramente individual, pois seus efeitos colaterais afetam diretamente terceiros, justificando, portanto, a atuação do poder público na criação de ambientes mais saudáveis e seguros para toda a população, alinhando-se à noção de contrato social onde a liberdade individual encontra limites no bem comum.
Ademais, a alegação de que restrições ao fumo configuram autoritarismo ignora a evolução histórica das políticas de saúde pública e a responsabilidade inerente ao poder governamental.
Ao longo do tempo, o Estado tem implementado diversas medidas para mitigar riscos à saúde da população, desde campanhas de vacinação até a regulamentação de alimentos e medicamentos, sempre com o objetivo de promover o bem-estar geral.
A proibição do fumo em locais fechados e de uso coletivo, como estabelecido pela legislação em diversos países, inclusive no Brasil, não visa cercear a liberdade de escolha do fumante em sua intimidade, mas sim garantir o direito à saúde e à não exposição a ambientes nocivos para os não fumantes, refletindo um dever do governo em proteger os mais vulneráveis e assegurar um ambiente socialmente mais equitativo e saudável, em consonância com o pensamento de pensadores como John Locke, que defendia que a liberdade não é a ausência de leis, mas a ausência de restrições arbitrárias.
Em suma, o combate ao fumo, mediante a restrição de seu consumo em locais de convivência coletiva, configura-se como um dever do governo, e não um ato de autoritarismo.
Para consolidar essa perspectiva, o Ministério da Saúde, em parceria com o Ministério da Educação, deve intensificar campanhas educativas contínuas em escolas e universidades, utilizando plataformas digitais e materiais didáticos que expliquem os malefícios do tabagismo e do fumo passivo, com o objetivo de conscientizar as novas gerações sobre os riscos à saúde.
Essa ação visa desestimular o início do consumo e reforçar a importância de ambientes livres de fumaça, promovendo uma cultura de saúde e bem-estar para toda a sociedade.
Assim, o Estado cumpre seu papel de guardião da saúde pública, equilibrando a proteção coletiva com o respeito à autonomia individual dentro de limites éticos e legais.</t>
  </si>
  <si>
    <t>Quem nunca passou pela situação de estar em alguma lanchonete ou outro estabelecimento e ter         que engolir a fumaça do cigarro de alguém?
Com certeza quase todo mundo já passou por isso.
E é exatamente para evitar           este tipo de situação que o governo criou a lei de Combate ao Fumo           , nada mais do que justo para os           não-fumantes .
.
Lógico que essa lei gera muitas discussões, principalmente por parte dos fumantes, por achar que o governo está tirando seu livre-arbítrio, o que não é verdade, pois eles são livres para fumar             a hora que quiserem desde que não seja em ambientes fechados             , afinal de contas, os não-fumantes também precisam da liberdade de não engolir uma fumaça da qual eles querem distância.
Dessa maneira, com um pouco de compreensão é possível que fumantes e não-fumantes vivam em harmonia, desde que cada um respeite a liberdade do outro, que é exatamente o que essa nova lei propõe.</t>
  </si>
  <si>
    <t>Flash_Aval_51</t>
  </si>
  <si>
    <t>Para ter sucesso no trabalho a gente precisa ter sorte e um bom emprego.
Isso é muito importante porque o mercado tá difícil e pouca gente consegue um trabalho bom sem sorte.
Muita gente estuda mas não consegue as coisa que quer.
A gente tem que ter talento também.
O sucesso profissional é quando a pessoa ganha bem e é respeitada.
Mas nem todo mundo consegue isso.
Precisa de um bom curso e de um chefe legal.
Se o chefe não for bom, a pessoa não vai querer ficar no emprego.
É importante ser bom no que faz também.
As condições para o sucesso são variadas, depende de muita coisa.
Tem que ter um pouco de tudo.
Sorte, estudo, e se dar bem com as pessoas.
Um bom emprego é tudo.
Se a gente não tem um bom emprego, a gente não tem nada.
Então, para ter sucesso é preciso ter sorte e um bom emprego.
Estudar muito ajuda, mas não é tudo.
É preciso ter talento e um bom chefe.
Se não tiver isso, não tem sucesso.
A gente precisa de ajuda para conseguir um emprego bom.</t>
  </si>
  <si>
    <t>O ato da escolha da profissão não se resume ao momento de marcar com a caneta o curso escolhido.
São vários os fatores que influenciam essa escolha como: necessidade individual, sorte, exigência da família e amigos, boa formação escolar, mercado de trabalho entre outros.
Diante disso, torna-se incessante a busca atrás do sucesso profissional.
Sucesso profissional, como atingi-lo?
A formação escolar contribui ativamente para esse alcance.
São inúmeras as vantagens dos bem-formados, já que o mercado de trabalho necessita cada vez mais de indivíduos de nível técnico ou superior.
De um outro lado, é entristecedora a notícia que algumas faculdades estão formando pessoas incapacitadas .
Por exemplo, é grande o número de advogados que se formam no nível superior e, não conseguem passar nos testes da OAB (Ordem dos Advogados do Brasil).
Sucesso profissional, como atingi-lo?
Ademais, o mercado de trabalho torna-se cada vez mais competitivo.
Profissões antes inimaginadas não param de surgir: na tela do designer de games, no telão do VJ, nos escritórios dos advogados eletrônicos, onde quer que apareça uma nova necessidade.
Um adolescente hoje pode se tornar especialista numa profissão ainda inexistente.
Daí a exigência do mercado de trabalho, em relação à multidisciplinaridade, pois esta permite uma visão mais abrangente do mundo que nos cerca.
Sucesso profissional, como atingi-lo?
Por conseguinte, não superior as outras condições, está a necessidade individual.
A título de exemplo, estudantes de engenharia tendem a pensar que a excessiva centralização na tecnologia os canalizam para resolução de problemas predominantemente tecnológicos.
Evitando assim, a criação de um mundo mais "humano" .
Não adianta priorizar somente uma condição como mercado de trabalho e, deixar de lado a satisfação profissional.
Sucesso profissional, como atingi-lo?
São várias as condições existentes, como já foi dito.
Talvez a solução para esse grande problema, esteja na conscientização dos jovens desde crianças.
É imprescindível a existência de programas e campanhas educacionais que induzam os jovens a pensar sobre seu futuro profissional e saber conciliar as condições que estes dispõe, sejam estas talento, sorte ou vocação.
Resultando na existência de jovens pensantes e capazes de adquirir o tão sonhado sucesso profissional, já que desde cedo conviveram com essa dificuldade.</t>
  </si>
  <si>
    <t>Flash_Aval_52</t>
  </si>
  <si>
    <t>A preservação da virgindade, em pleno século XXI, emerge como um debate complexo, entrelaçando valores morais, religiosos e individuais.
Em um contexto marcado pela liberalização dos costumes e pela antecipação da iniciação sexual, a escolha pela abstinência até o casamento, outrora norma social consolidada, volta a ser discutida, gerando divergências significativas na sociedade contemporânea, especialmente entre os jovens e seus pais.
Essa discussão se fundamenta em duas vertentes principais: a defesa da virgindade como um sinal de juízo e preparo para relacionamentos futuros e a visão de que a liberdade sexual é um direito individual, independentemente de convenções sociais.
Assim, a tese que se propõe defender é que a virgindade, como escolha pessoal e moral, deve ser respeitada e pode, de fato, ser um valor a ser preservado, desde que essa decisão não seja imposta, mas sim fruto de convicções próprias e informadas, contribuindo para um desenvolvimento mais consciente do indivíduo e para a construção de relacionamentos mais sólidos e pautados no autoconhecimento.
O primeiro argumento reside na concepção filosófica de que a autodisciplina e o autocontrole, exemplificados pela preservação da própria integridade física e emocional antes de um compromisso estabelecido, são pilares para a formação de um caráter íntegro e responsável.
Pensadores como Immanuel Kant, em sua ética deontológica, enfatizam a importância da autonomia da vontade e do dever, o que pode ser transposto para a esfera pessoal como a capacidade de tomar decisões conscientes sobre o próprio corpo e desejos, resistindo a pressões externas ou à efemeridade de impulsos.
Essa postura não se trata de repressão, mas de um exercício ativo de discernimento sobre o que se deseja para si, alinhando ações a valores pessoais profundos.
O segundo argumento reside na dimensão sociológica que aponta a virgindade como um elemento que, para muitos, confere segurança e um senso de valor próprio, especialmente em culturas que ainda a associam à pureza e ao respeito.
A socióloga Zygmunt Bauman, ao discutir a fragilidade dos laços humanos na modernidade líquida, sugere que a busca por estabilidade e significado em relacionamentos pode ser auxiliada por uma base de autoconhecimento e clareza de intenções, onde a decisão de esperar para a intimidade sexual pode ser um reflexo dessa busca por um compromisso mais profundo e duradouro.
Essa perspectiva não nega a liberdade sexual, mas a contextualiza dentro de um espectro de escolhas que podem levar a diferentes formas de construção de intimidade e afeto.
Em suma, a virgindade, quando entendida como uma escolha livre e consciente, não é um retrocesso, mas uma faceta da autonomia individual a ser respeitada e, para aqueles que a abraçam, um valor moral que pode ser preservado.
Para que essa escolha seja efetivamente um ato de liberdade e não de imposição, é fundamental que haja um diálogo aberto e informativo sobre sexualidade nas escolas e nas famílias.
Nesse sentido, o Ministério da Educação, em parceria com o Ministério da Saúde, deve promover campanhas educativas contínuas, utilizando materiais didáticos claros e acessíveis, que abordem as diversas facetas da sexualidade, incluindo a importância do consentimento, do autoconhecimento e do respeito às escolhas individuais, com o objetivo de munir os jovens com informações para que tomem decisões autônomas e responsáveis sobre seus corpos e seus futuros relacionamentos, além de desmistificar a virgindade e outras escolhas sexuais.</t>
  </si>
  <si>
    <t>Costumo dizer que virgem hoje nem mais fita cassete.
E nem temos condições de ter mata virgem, pois a ganância deflora tudo.
Brincadeirinha!
A virgindade, tanto do homem como da mulher deve ser um valor moral a ser preservado.
Valor moral a ser assumido não apenas se preservando em não ter relações sexuais antes do casamento, mas atitudes que preservem a moral.
A virgindade  é simbolizada pela perda do hímen pela mulher e pela primeira relação sexual do homem .
Mas ela precisa ser vista de forma mais ampla.
Numa sociedade permissiva como a nossa esses valores devem ser resgatados.
Não é a perda de uma simples membrana na menina ou a precoce iniciação sexual do menino que devem ser cuidados.
Nossas relações muitas vezes erotizam de tal forma o parceiro, que o valor moral vai de água abaixo .
O fato do "ficar", de se disputar com quantas parceiras se vai ficar, elencar quantos beijos se vai dar na noitada, despertam de tal forma os hormônios, que a adultez acontece mais cedo.
Respeitar o corpo do outro, da outra, significa ver o valor da pessoa que não pode ser usada apenas para um prazer passageiro.
Os riscos de uma gravidez, de se contrair uma doença não podem ser freios para se preservar a virgindade.
Existem valores maiores a serem preservados,.
Guardar-se, para que na hora certa as coisas possam                 acontecer.
Dentro de um casamento monogâmico, dentro dos valores morais tradicionais, dentro do respeito requerido pelo Criador.
Podem nos chamar de retrógrados, mas os valores morais são perenes.
E devem ser preservados.
A virgindade é um desses valores!</t>
  </si>
  <si>
    <t>Flash_Aval_53</t>
  </si>
  <si>
    <t>A transgenia alimentar engloba diversos aspectos, tais como ambientais, éticos e de saúde.
Enquanto uns acreditam que nela esta  a solução, outros divergem, afirmando que ela acarreta ainda mais problemas.
A gama de possibilidades que os transgênicos nos oferecem, é  realmente grande, mas até que ponto o homem pode interferir no curso da natureza?
Até que ponto a transgenia pode ser favorável e até que ponto ela pode ser letal?
Aí esta o grande empasse  dos alimentos transgênicos.
Os favoráveis a esse tipo de tecnologia afirmam que ela pode acabar com a fome no mundo, uma vez que          a mesma, aumenta em até 80% a produção de alimentos.
Porém é sabido que o problema da fome não está na sua produção, mas sim em sua distribuição, que é feita de forma irregular .
Há ainda os que dizem que esses alimentos não fazem mal nenhum a  saúde e que as pesquisas comprovam isso.
Mas se analisarmos, vemos que as pesquisas são feitas a curto prazo, de até no máximo 90 dias.
No entanto  um grupo de pesquisadores da Europa, realizou  uma pesquisa em ratos de laboratório, durante 2  anos, que é um tempo considerável, e as cobaias apresentaram câncer e tumores.
Ao levarmos esses aspectos em consideração, vemos que a transgenia é um desconhecido e que é preciso calma e muitas análises antes de utilizá-la.
Mas infelizmente o ser humano é escravo da ganância e somente visa lucros e mais lucros, cabe  a nós, consumidores, exigir que esses alimentos sejam rotulados, para que possamos escolher se queremos ou não correr esse risco.</t>
  </si>
  <si>
    <t>Os transgênicos são coisas que inventaram pra mudar as plantas e bicho.
Isso é bom porque ajuda a fazer mais comida e o povo não passa fome.
A ciência fez isso pra ajudar a gente, tipo as plantas que aguentam o calor e os frangos que não pegam doença.
É importante ter comida pra todo mundo.
Mas tem gente que fala que isso faz mal pra saúde e pro meio ambiente, que é perigoso comer essas coisas.
Eles dizem que a gente pode ficar doente ou que a natureza vai se estragar.
A gente não sabe direito se é bom ou ruim, mas parece que ajuda a gente a ter mais coisa.
Por isso, o governo devia ajudar mais quem faz essas coisas e explicar melhor pra todo mundo não ter medo.</t>
  </si>
  <si>
    <t>Flash_Aval_54</t>
  </si>
  <si>
    <t>O conceito de família é algo que sempre esteve presente na sociedade, mas se ele pode mudar ou não é uma questão que gera muita discussão.
Para algumas pessoas, a família é formada apenas por um homem e uma mulher, que se casam e têm filhos.
Essa é a visão mais tradicional e que muitas pessoas ainda seguem.
Elas acham que qualquer outra forma de família não é correta e não deve ser aceita pela sociedade, pois vai contra os costumes antigos.
Por outro lado, tem gente que pensa diferente.
Eles acreditam que a família pode ser formada de outras maneiras, como por exemplo, por duas mulheres ou dois homens que se amam e decidem morar juntos, ou até mesmo por uma pessoa sozinha criando seus filhos.
Essa visão mais moderna diz que o importante é o amor e o cuidado entre as pessoas que vivem juntas, não importa se são homem e mulher ou não.
Eles acham que a sociedade tem que se adaptar aos tempos de hoje.
Essa diferença de opinião faz com que muitas pessoas fiquem em dúvida sobre o que é certo.
A votação que aconteceu na Câmara dos Deputados mostrou que tem muita gente querendo opinar sobre isso.
Metade das pessoas votou a favor de um conceito mais tradicional, e a outra metade votou contra, mostrando que o assunto é complicado e divide opiniões.
É difícil saber qual lado está mais certo.
No final das contas, o conceito de família pode sim mudar.
A sociedade evolui e as pessoas também.
O que era aceito antigamente pode não ser mais hoje.
O importante é que as pessoas se sintam bem e felizes com a família que elas formam, seja ela de um jeito ou de outro.
O amor e o respeito devem prevalecer em qualquer tipo de arranjo familiar.</t>
  </si>
  <si>
    <t>No Estatuto a definição de família é a seguinte : "define-se entidade familiar como o núcleo social formado a partir da união entre um homem e uma mulher, por meio de casamento ou união estável, ou ainda por comunidade formada por qualquer dos pais e seus descendentes".
Até alguns anos atras esta  era o único modelo de família aceito, mas com o passar dos anos a sociedade mudou, e com isso  o seu jeito de pensar e agir.
De acordo com Karl Marx "A historia da sociedade até aos nossos dias atuais é a história da luta de classes".
E é isto que está acontecendo em nosso país.
Um exemplo disso são os casais homossexuais, que desde muito tempo estão em luta para conseguir um espaço na sociedade, serem aceitos como pessoas normais.
Mas ele não são?
Ter escolha sexual por pessoas do mesmo sexo os torna "pessoas diferentes"?
Obviamente não.
A sociedade deve aceitar que tudo mudou, e  que família não é apenas o "papai a mamãe e os filhinhos", a família é constituída por todos onde existe laços de amor , carinho e respeito, seja ela formada por dois homens ou duas mulheres.
Muitas vezes somos egoístas, mas vamos começar a pensar nos outros.
Vamos formar uma sociedade mais atualizada, com mais respeito, onde homossexuais se sintam bem acolhidos, para tonar assim  um país de várias famílias.</t>
  </si>
  <si>
    <t>Flash_Aval_55</t>
  </si>
  <si>
    <t>Recentemente no Brasil, ativistas contrários ao uso de animais em pesquisa cientifica  invadiram e retiraram 178 cães da raça Beagle do Instituto Royal,          com isso surgiram ações violentas e protestos em defesa dos animais, interrompendo também estudos de extrema importância para a sociedade como o tratamento contra o câncer.
Diante disso, podemos constatar que anos de estudos foram "jogados no lixo" ocasionando danos imensuráveis ao Instituto Royal e consequentemente para a sociedade brasileira, uma vez que é através desses estudos que muitos seres humanos têm a cura de sua doença.
Desde muito tempo, o uso de experiências com animais tem amenizado o sofrimento humano com o desenvolvimento de medicamentos para diversas doenças.
Infelizmente o uso de animais ainda é inevitável, mesmo porque muitas delas necessitam das reações semelhantes às dos humanos para que a experiência tenha resultados mais exatos .
O que se tem percebido é que cada vez mais cientistas têm evitado o uso de animais nesses tipos  de experiências, principalmente pelo alto custo e pelos questionamentos éticos que podem ser feitos sobre tal fato.
Prova disso, é  que em muitos países proíbe-se o uso de animais em experiências para a produção de cosméticos, sendo substituídos por pele artificial.
Dessa forma, somos levados a refletir sobre como nós, brasileiros, fomos prejudicados com todo esse trágico episódio da invasão ao Instituto Royal, com certeza o Brasil retrocedeu muitos anos nas pesquisas cientificas  no ramo da saúde.
Infelizmente, por muito tempo ainda precisaremos dos animais para          a evolução de muitos de nossos tratamentos de saúde , enquanto isso, o que se pode esperar é que a tecnologia avance cada vez mais até que  enfim, os animais fiquem excluídos de tais experiências.</t>
  </si>
  <si>
    <t>A relação entre experiências com animais em pesquisas e a violência em manifestações é um tema complexo e frequentemente controverso.
Em outubro passado, um protesto contra o uso de cães beagle em testes de laboratório ganhou destaque, evidenciando essa dualidade.
Por um lado, a preocupação com o bem-estar animal e a denúncia de crueldades praticadas em nome do avanço científico.
Por outro lado, a escalada da violência por grupos como os black blocs, que desrespeitam a ordem pública e a propriedade alheia.
É inegável que a causa animal desperta empatia, especialmente quando envolve seres indefesos como cães submetidos a procedimentos dolorosos.
O movimento de libertação animal, com bases filosóficas sólidas, argumenta que a capacidade de sentir dor e sofrimento torna esses animais sujeitos de consideração moral, equiparáveis em muitos aspectos aos humanos.
Ignorar essa capacidade seria uma falha ética grave, justificando ações para impedir o sofrimento.
No entanto, a violência em manifestações, mesmo quando com pautas legítimas, compromete a causa que se propõe defender.
A depredação de instituições e o confronto com as forças de segurança não apenas geram prejuízos materiais e ameaçam a integridade física de pessoas, mas também desviam o foco do debate.
A utilização de cães em pesquisas, por exemplo, é um campo complexo onde o avanço científico para tratamentos médicos, como contra o câncer, muitas vezes depende desses estudos, ainda que com a necessidade de aprimorar as práticas e reduzir o sofrimento.
Diante disso, é fundamental que as manifestações ocorram de forma pacífica e respeitosa, permitindo o diálogo entre ativistas, cientistas e a sociedade.
O Estado, por meio de órgãos fiscalizadores e legislações adequadas, deve garantir o bem-estar animal e, ao mesmo tempo, coibir a violência e a depredação.
É preciso que haja políticas públicas que incentivem métodos alternativos de pesquisa e que promovam a transparência e a ética nas instituições científicas, assegurando que os avanços não se deem à custa de sofrimento desnecessário e que a liberdade de expressão seja exercida sem a imposição do medo e da destruição.</t>
  </si>
  <si>
    <t>Flash_Aval_56</t>
  </si>
  <si>
    <t>O terrorismo é um problema que pode acontecer em qualquer lugar, inclusive no Brasil, porque hoje em dia as pessoas fazem coisas muito ruins, então é perigoso.
Os eventos esportivos que o Brasil vai sediar, como a Copa do Mundo, atraem muita gente e por isso podem ser alvos, assim como aconteceu em Boston, que foi um ataque muito triste.
A gente precisa se preocupar com isso porque o Brasil não tá preparado pra essas coisas, a lei é fraca e tem muita gente ruim que pode fazer mal pra gente.
Por isso, o governo deveria fazer alguma coisa pra melhorar a segurança, talvez mandar mais polícia pras ruas e treinar eles melhor, mas eu não sei bem como fazer isso direito.</t>
  </si>
  <si>
    <t>Um atentado terrorista em nosso país parece inimaginável.
O Brasil exibe um estado de harmonia e pacificidade perante o cenário mundial.
São insignificativos os conflitos armados em que se envolve.
Não mostra nenhuma rivalidade perigosa, isto é, que coloque um conflito bélico em iminência.
Apesar disso, o país receberá um evento de grande porte e deve redobrar a segurança contra ataques terroristas.
A violência no país do futebol já é, a  muito tempo, um grande problema interno e agora  como futuro          sediador da copa do mundo  ,          deve melhorar intensamente o sistema de segurança, para controlar os criminosos locais e internacionais que podem eclodir .
Um evento esportivo como a copa , faz a atenção ser toda desviada para um único local e como consequência,  essa região fica vulnerável, pois atentados que pretendem causar um impacto mundial miram nessa zona.
Desse forma, toda nação, inclusive a nossa, fica suscetível à  ataques terroristas nessa condição.
É preciso, portanto, desfazer o mito de que no Brasil é pouco provável  ataques como, em uma comparação radical, ao  World Trade Center, nos Estados Unidos.
Apesar de um          longo contexto colaborar para isso, a ocasião também faz a diferença.
Pelo menos em 2014, quando inúmeros estrangeiros estiverem aqui para apreciar partidas de futebol, não estaremos livres .</t>
  </si>
  <si>
    <t>Flash_Aval_57</t>
  </si>
  <si>
    <t>A covardia e a coragem são coisas que afeta a sociedade muito.
Quando as pessoas são covardes, elas não fazem o que é certo e isso prejudica todo mundo.
Por exemplo, se um chefe é covarde, ele não toma decisões e a empresa não anda pra frente.
Isso é ruim.
Já a coragem é quando a pessoa faz o que tem que ser feito mesmo com medo.
Um exemplo é o comandante que mandou o outro voltar pro navio.
Ele foi corajoso.
Mas tem gente que fala que é melhor não ser corajoso pra não se machucar.
Isso é pensar pequeno.
A sociedade precisa de gente corajosa pra resolver os problemas e as pessoas covardes só atrapalham tudo e fazem as coisas piorarem porque elas não querem se responsabilizar.
A gente precisa pensar mais sobre isso.</t>
  </si>
  <si>
    <t>Atitudes de coragem e de medo tem acompanhado o ser humano desde os primórdios de sua existência, e a pesar  de todo o avanço da sociedade atual,         ainda nos deparamos com vários atos de covardia, principalmente no  ponto de vista ético.
Ao assumir qualquer tipo de responsabilidade, temos que estar conscientes das consequências das nossas ações.
O que diferencia um herói de um covarde é que o primeiro possui coragem de admitir seus erros e responsabilizar-se por seus atos, enquanto o segundo tende a negar o próprio equívoco e fugir das consequências das suas ações.
Um covarde, por não tomas atitudes  perante as próprias falhas, prejudica não só a si mesmo, pois não aprende com seus erros, mas também outros ao seu redor,           já que abandona a responsabilidade antes assumida perante tais indivíduos.
Uma notícia que tem se destacado na mídia que exemplifica muito bem esse fato foi o caso do capitão Francesco Schettino que, após bater em uma rocha junta à ilha italiana, abandonou o navio deixando milhares de pessoas que estavam a bordo da embarcação.
Assim, é notável o quão prejudicial</t>
  </si>
  <si>
    <t>Flash_Aval_58</t>
  </si>
  <si>
    <t>Na sociedade atual é comum o convívio com animais domesticáveis.
Gatos e cachorros são os mais presentes nos lares, sendo, portanto, os maiores  sujeitos à ação dos seres humanos, ou melhor, de seus donos.
Essas ações podem ser violentas, ameaçando a vida destes  bichos de estimação.
Foi o que aconteceu recentemente com um filhote de cachorro da raça yorkshire.
A dona, uma enfermeira do estado de Goiás, espancou o animal até que o mesmo viesse a falecer  .
Toda a cena foi acompanhada pela filha  de apenas três anos, da  enfermeira.
Este  caso teve grande repercussão na mídia e nas redes sociais, demonstrando que um ato de crueldade contra um animal é altamente repreendido  nas sociedades humanas.
Por outro lado, existem aqueles que tratam seus companheiros de quatro patas como parte da família, chegando a exagerar em alguns aspectos, como no caso da italiana que deixou uma fortuna para seu gato.
Tal atitude não é compatível com os padrões de bom senso empiricamente existente  nas pessoas, uma vez que             um gato, por ser um animal irracional, não teria o  porquê ter  uma conta bancária milionária, apenas  uma casa e uma boa família.
Por tudo isso, conclui-se que primeiramente deve haver respeito do limite que determina o convívio entre homem e animal.
Dessa forma, atrocidades como o espancamento de um filhote de cachorro até a morte, com a justificativa de estresse emocional causada pelo mesmo,  não será viável  .
Assim como a não humanização do bicho de estimação é imprescindível para um relacionamento saudável do mesmo  com seu dono.</t>
  </si>
  <si>
    <t>A profunda e milenar relação entre seres humanos e animais de estimação, marcada pela domesticação e pelo companheirismo, configura-se hoje como um complexo palco de debates éticos e sociais.
Essa simbiose, que historicamente suprira necessidades afetivas e de companhia, revela facetas contrastantes na contemporaneidade, polarizando opiniões entre a indulgência exacerbada e a negligência cruel.
Diante desse cenário, é imperativo analisar como essa coexistência deve ser pautada por um equilíbrio que respeite tanto os tutores quanto os próprios animais, considerando os deveres inerentes a essa ligação e os potenciais desvios que a desvirtuam.
Para tanto, é fundamental compreender a natureza intrínseca dos animais e estabelecer limites claros para a humanização excessiva, ao passo que se combatem as formas de maus-tratos e abandono, garantindo um convívio harmônico e ético.
Em primeiro lugar, a tendência à antropomorfização, embora nascida de um afeto genuíno, pode distorcer a compreensão das reais necessidades dos pets.
Ao projetar em animais características e expectativas humanas que lhes são alheias, como a necessidade de luxos ou a participação em atividades inadequadas à sua espécie, os tutores podem, inadvertidamente, gerar dependência excessiva e prejudicar o desenvolvimento comportamental dos bichos, como aponta o conceito de "exagero no zelo com o pet" que pode levar a problemas de ansiedade e fobias.
Essa superproteção, ao negar ao animal a oportunidade de expressar suas próprias emoções e aprender a lidar com frustrações, compromete a construção de uma identidade animal autêntica e uma relação verdadeiramente saudável baseada na troca mútua.
Conforme o "Espaço animal" sugere, uma relação saudável permite trocas entre os indivíduos, o que implica reconhecer e respeitar a natureza de cada ser.
Em contrapartida, a existência de indivíduos que submetem animais a crueldades extremas, como os chocantes casos de maus-tratos que ganharam repercussão midiática, evidencia a face mais sombria dessa relação.
Tais atos, que violam a integridade física e psicológica dos animais, como o espancamento de um cão documentado em vídeo, não apenas desrespeitam a Lei nº 9.605/98, que tipifica crimes contra animais, mas também refletem uma profunda falha ética e moral na sociedade.
A brutalidade presenciada por crianças, como no caso do yorkshire espancado, agrava a gravidade da situação, demandando uma resposta contundente do sistema judicial e da sociedade civil para coibir tais barbaridades e garantir a proteção desses seres vulneráveis.
Portanto, para que as relações entre pessoas e animais de estimação sejam pautadas pela ética e pelo respeito, é mister que o Ministério da Cidadania, em parceria com órgãos de proteção animal e ONGs como a Safernet, promova campanhas educativas contínuas em mídias diversas.
Essas ações deverão focar na desmistificação da humanização excessiva e na conscientização sobre os direitos dos animais, utilizando exemplos práticos de cuidados adequados e os perigos da negligência e do abuso, a fim de formar cidadãos mais responsáveis e empáticos para com seus companheiros não humanos, garantindo um futuro onde o bem-estar animal seja prioridade inegociável.</t>
  </si>
  <si>
    <t>Flash_Aval_59</t>
  </si>
  <si>
    <t>Segundo estudos recentes, houve um aumento considerável do número de carros comprados por brasileiros nos últimos anos, assim como o de televisões de tela plana, tocadores de música, celulares multifuncionais e câmeras digitais.
A baixa dos preços no mercado provocou a socialização da tecnologia, e com isso a dependência em relação a esta aumentou expressivamente.
O ser humano não consegue mais imaginar-se sem esses aparatos tecnológicos.
Considera a vida mais prática, mais rápida e apesar do prolongamento da expectativa de vida, a qualidade desta não seguiu as mesmas proporções.
Hospitais e escolas ainda perecem devido à sua péssima qualidade, enquanto os cidadãos comemoram a chegada da TV digital ao país.
Não se pode negar os avanços que a tecnologia propiciou no campo das pesquisas científicas , entretanto, deve-se reconhecer o quanto esta nos fez reféns e quantas mudanças negativas provocou.
Jovens passam noites inteiras em frente a telas de computadores e a maior parte sofre de distúrbios causados por estresse; distúrbios que antes só eram verificados entre adultos.
É impossível regredir e tentar viver sem um computador com conexão à Internet, entretanto, devemos nos policiar quanto ao seu uso.
Não nascemos grudados a esses aparelhos, portanto podemos e devemos nos desligar deles algumas horas por dia.</t>
  </si>
  <si>
    <t>A onipresença de dispositivos tecnológicos em nosso cotidiano suscita um debate acerca de nossa relação com eles.
De fato, a dependência que desenvolvemos de smartphones, computadores e da internet é inegável, moldando hábitos e transformando a maneira como interagimos com o mundo e uns com os outros.
Essa integração tão profunda levanta a questão: fomos nós que criamos as ferramentas ou elas passaram a nos controlar?
Um dos argumentos centrais dessa dependência reside na forma como as máquinas otimizaram e, ao mesmo tempo, limitaram nossas vidas.
A promessa de eficiência e conveniência, como a comunicação instantânea e o acesso facilitado à informação, tornou-se uma realidade.
No entanto, essa mesma facilidade pode levar à superficialidade e à perda de habilidades cognitivas essenciais, como a memória e a concentração, pois nos acostumamos a ter respostas prontas, sem o esforço do raciocínio aprofundado.
Outro ponto a ser considerado é o impacto social e psicológico.
As redes sociais, por exemplo, promovem uma conexão global, mas também podem gerar isolamento e ansiedade, com comparações constantes e a busca por validação virtual.
A linha entre a vida real e a vida digital se torna cada vez mais tênue, e a necessidade de estar sempre conectado pode nos afastar das interações humanas genuínas e do contato com a natureza, o que é preocupante.
Diante desse cenário, é fundamental que o ser humano retome o controle sobre a tecnologia.
Para isso, o Ministério da Educação, em parceria com o Ministério da Ciência e Tecnologia, deve promover campanhas de conscientização sobre o uso equilibrado das ferramentas digitais, incentivando atividades offline e o desenvolvimento do pensamento crítico.
Além disso, as escolas precisam integrar em seus currículos discussões sobre os impactos da tecnologia e as formas de utilizá-la de maneira saudável, garantindo que as máquinas continuem sendo instrumentos a nosso serviço, e não o contrário.</t>
  </si>
  <si>
    <t>Flash_Aval_60</t>
  </si>
  <si>
    <t>A controvérsia em torno do caso Geisy Arruda, marcada pelo uso de um minivestido pink em ambiente universitário, suscita debates cruciais sobre os limites do vestuário, a persistência do machismo e a fragilidade da educação social.
A reação hostil de colegas e a subsequente expulsão da aluna evidenciaram não apenas a intolerância em relação à liberdade individual de expressão, mas também a forma como a sociedade ainda penaliza a mulher por sua aparência.
Nesse contexto, é imperativo analisar se o cerne da polêmica reside no vestuário feminino, no machismo arraigado, na intolerância ou na má-educação geral, conforme levanta a indagação central.
Em primeira análise, é inegável que o episódio expõe as profundas raízes do machismo estrutural na sociedade brasileira.
A reação desproporcional e agressiva direcionada a Geisy Arruda, em contraste com a ausência de sanções similares para comportamentos masculinos considerados inadequados, como sugere Marta Suplicy, demonstra um viés de gênero que objetifica e julga a mulher com base em sua sexualidade e vestimenta.
Essa mentalidade, que remonta a séculos de patriarcado, perpetua a ideia de que o corpo feminino é público e passível de controle e punição, ignorando a autonomia e a dignidade da estudante.
Ademais, a situação revela a gritante deficiência na educação cívica e no respeito ao próximo, elementos essenciais para a convivência em qualquer ambiente, especialmente o acadêmico.
A hostilidade e a humilhação sofridas pela aluna por parte de seus colegas configuram uma clara má-educação, que falha em promover um espaço de tolerância e aceitação das diferenças.
A universidade, enquanto lócus de formação intelectual e social, deveria ser um ambiente de diálogo e aprendizado mútuo, e não um palco para o linchamento moral e a intolerância, como o caso infelizmente demonstrou.
Diante do exposto, é fundamental que a sociedade e as instituições de ensino atuem de forma contundente para coibir a intolerância e o machismo.
Para tanto, o Ministério da Educação, em parceria com as universidades, deve promover campanhas educativas contínuas sobre igualdade de gênero e respeito à diversidade, utilizando palestras e workshops em todos os níveis de ensino.
Tais ações, com foco na desconstrução de estereótipos e na valorização da autonomia feminina, visam a erradicar comportamentos discriminatórios, garantindo que o ambiente acadêmico seja verdadeiramente um espaço de aprendizado e desenvolvimento humano livre de preconceitos e humilhações.</t>
  </si>
  <si>
    <t>Não se vai à praia vestida de freira, como não se vai ao Congresso com camisetas cavadas.
Nos concursos de Miss Mundo as candidatas desfilam com vários tipos de trajes: desde o social até o biquíni  .
Nestes  exemplos há uma mostra de que cada traje tem seu local e hora adequados para serem usados  .
No caso em tela acreditamos que a estudante exagerou na         "falta de traje" , e os circunstantes, no "excesso de emoção" .
A expulsão consistiu em uma atitude extrema que foi prontamente corrigida.
Mas em que, na realidade, consistiu todo este "imbroglio" ?
A moça argumenta que sempre se vestiu do mesmo modo e assim inculpa os "outros" que não aceitaram este modo de vestir e armaram toda a confusão.
Do outro lado há os que, arvorando-se em vestais da moralidade dizem que não é possível frequentar aulas usando aquele tipo de traje.
Se ela adentrou o recinto da universidade sem ser incomodada, então ocorreu uma falha da segurança, pois permitiu que ela o fizesse.
Se, por usar trajes sumários, a moça, uma vez que disse que sempre trajou -se da mesma maneira, provocou os estudantes que estavam à sua volta (e obviamente não o fez em outros dias), o erro de conduta cabe a ela.
Nos dias de hoje não podemos nos esquecer dos famosos "15 minutos de fama" e que para obtê-los o ser humano lança mão das mais tresvairadas  atitudes.
E, notamos cotidianamente nos programas de televisão, que um dos modos de atingi-los é principalmente o apelo sexual, dados os trajes mínimos com que muitos astros e estrelas apresentam-se para toda a família               , na qual os elos mais susceptíveis de serem atingidos por este apelo são as crianças e adolescentes por estarem em fase de formação.
Pelo exposto acreditamos que a realmente é  culpada é a sociedade, que educa mal seus jovens fazendo-os acreditar que com trajes inadequados atingirão a notoriedade que tanto anseiam.
Resta uma observação: No Tribunal Regional do Trabalho de Minas Gerais recomenda-se que os juízes usem "vestes talares", que acreditamos serem aquelas togas tão horrorosas quanto aquelas perucas usadas pelos magistrados ingleses no sec.
XIX.
Não pecaram eles pelo excesso de zelo também E outra: vestes talares: não haveria um modo mais elegante de se expressar?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</si>
</sst>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121"/>
  <sheetViews>
    <sheetView topLeftCell="H1" workbookViewId="0">
      <selection activeCell="S22" sqref="S22"/>
    </sheetView>
  </sheetViews>
  <sheetFormatPr defaultRowHeight="15"/>
  <cols>
    <col min="1" max="1" width="17.5703125" customWidth="1"/>
    <col min="2" max="2" width="199.7109375" customWidth="1"/>
    <col min="3" max="3" width="10" bestFit="1" customWidth="1"/>
    <col min="4" max="4" width="11.5703125" bestFit="1" customWidth="1"/>
    <col min="5" max="5" width="10.7109375" bestFit="1" customWidth="1"/>
    <col min="6" max="6" width="15.5703125" bestFit="1" customWidth="1"/>
    <col min="7" max="7" width="13.28515625" bestFit="1" customWidth="1"/>
    <col min="8" max="8" width="36.5703125" bestFit="1" customWidth="1"/>
    <col min="9" max="9" width="16.5703125" bestFit="1" customWidth="1"/>
    <col min="10" max="10" width="19.28515625" bestFit="1" customWidth="1"/>
    <col min="11" max="11" width="17.5703125" bestFit="1" customWidth="1"/>
    <col min="12" max="12" width="17.42578125" bestFit="1" customWidth="1"/>
    <col min="13" max="13" width="20.140625" bestFit="1" customWidth="1"/>
    <col min="14" max="14" width="14.85546875" bestFit="1" customWidth="1"/>
    <col min="15" max="15" width="18.140625" bestFit="1" customWidth="1"/>
    <col min="16" max="16" width="26.140625" bestFit="1" customWidth="1"/>
    <col min="17" max="17" width="26" bestFit="1" customWidth="1"/>
    <col min="18" max="18" width="26.42578125" bestFit="1" customWidth="1"/>
    <col min="19" max="19" width="17.85546875" bestFit="1" customWidth="1"/>
    <col min="20" max="20" width="17.7109375" bestFit="1" customWidth="1"/>
    <col min="21" max="21" width="20.5703125" bestFit="1" customWidth="1"/>
    <col min="22" max="22" width="22.7109375" bestFit="1" customWidth="1"/>
    <col min="23" max="23" width="22.5703125" bestFit="1" customWidth="1"/>
    <col min="24" max="24" width="25.28515625" bestFit="1" customWidth="1"/>
    <col min="25" max="25" width="19" bestFit="1" customWidth="1"/>
    <col min="26" max="26" width="36.5703125" bestFit="1" customWidth="1"/>
    <col min="27" max="27" width="21.5703125" bestFit="1" customWidth="1"/>
  </cols>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ht="17.25" customHeight="1">
      <c r="A2" s="1" t="s">
        <v>27</v>
      </c>
      <c r="B2" s="1" t="s">
        <v>28</v>
      </c>
      <c r="C2">
        <v>2</v>
      </c>
      <c r="D2">
        <v>4</v>
      </c>
      <c r="E2">
        <v>3</v>
      </c>
      <c r="F2">
        <v>2</v>
      </c>
      <c r="G2" t="s">
        <v>29</v>
      </c>
      <c r="H2" s="2" t="str" cm="1">
        <f t="array" ref="H2">"Fluência: " &amp; ROUND(AVERAGE(IF($N$2:$N$121="ORIGINAL", $C$2:$C$121)), 1)</f>
        <v>Fluência: 3,6</v>
      </c>
      <c r="I2" t="str" cm="1">
        <f t="array" ref="I2">"Fluência: " &amp; ROUND(MODE(IF($N$2:$N$121="ORIGINAL", $C$2:$C$121)), 1)</f>
        <v>Fluência: 4</v>
      </c>
      <c r="J2" t="str" cm="1">
        <f t="array" ref="J2">"Fluência: " &amp; ROUND(MEDIAN(IF($N$2:$N$121="ORIGINAL", $C$2:$C$121)), 1)</f>
        <v>Fluência: 4</v>
      </c>
      <c r="K2" t="str" cm="1">
        <f t="array" ref="K2">"Fluência: " &amp; ROUND(AVERAGE(IF($N$2:$N$121="SINTETICO", $C$2:$C$121)), 1)</f>
        <v>Fluência: 3,8</v>
      </c>
      <c r="L2" t="str" cm="1">
        <f t="array" ref="L2">"Fluência: " &amp; ROUND(MODE(IF($N$2:$N$121="SINTETICO", $C$2:$C$121)), 1)</f>
        <v>Fluência: 5</v>
      </c>
      <c r="M2" t="str" cm="1">
        <f t="array" ref="M2">"Fluência: " &amp; ROUND(MEDIAN(IF($N$2:$N$121="SINTETICO", $C$2:$C$121)), 1)</f>
        <v>Fluência: 4</v>
      </c>
      <c r="N2" t="s">
        <v>30</v>
      </c>
      <c r="O2" t="s">
        <v>31</v>
      </c>
      <c r="P2" t="str" cm="1">
        <f t="array" ref="P2">"Fluência: " &amp; ROUND(AVERAGE(IF(($N$2:$N$121="SINTETICO")*($O$2:$O$121="EXCELENTE"), $C$2:$C$121)), 1)</f>
        <v>Fluência: 5</v>
      </c>
      <c r="Q2" t="str" cm="1">
        <f t="array" ref="Q2">"Fluência: " &amp; ROUND(MODE(IF(($N$2:$N$121="SINTETICO")*($O$2:$O$121="EXCELENTE"), $C$2:$C$121)), 1)</f>
        <v>Fluência: 5</v>
      </c>
      <c r="R2" t="str" cm="1">
        <f t="array" ref="R2">"Fluência: " &amp; ROUND(MEDIAN(IF(($N$2:$N$121="SINTETICO")*($O$2:$O$121="EXCELENTE"), $C$2:$C$121)), 1)</f>
        <v>Fluência: 5</v>
      </c>
      <c r="S2" t="str" cm="1">
        <f t="array" ref="S2">"Fluência: " &amp; ROUND(AVERAGE(IF(($N$2:$N$121="SINTETICO")*($O$2:$O$121="BOA"), $C$2:$C$121)), 1)</f>
        <v>Fluência: 4,7</v>
      </c>
      <c r="T2" t="str" cm="1">
        <f t="array" ref="T2">"Fluência: " &amp; ROUND(MODE(IF(($N$2:$N$121="SINTETICO")*($O$2:$O$121="BOA"), $C$2:$C$121)), 1)</f>
        <v>Fluência: 5</v>
      </c>
      <c r="U2" t="str" cm="1">
        <f t="array" ref="U2">"Fluência: " &amp; ROUND(MEDIAN(IF(($N$2:$N$121="SINTETICO")*($O$2:$O$121="BOA"), $C$2:$C$121)), 1)</f>
        <v>Fluência: 5</v>
      </c>
      <c r="V2" t="str" cm="1">
        <f t="array" ref="V2">"Fluência: " &amp; ROUND(AVERAGE(IF(($N$2:$N$121="SINTETICO")*($O$2:$O$121="MEDIANA"), $C$2:$C$121)), 1)</f>
        <v>Fluência: 2,8</v>
      </c>
      <c r="W2" t="str" cm="1">
        <f t="array" ref="W2">"Fluência: " &amp; ROUND(MODE(IF(($N$2:$N$121="SINTETICO")*($O$2:$O$121="MEDIANA"), $C$2:$C$121)), 1)</f>
        <v>Fluência: 3</v>
      </c>
      <c r="X2" t="str" cm="1">
        <f t="array" ref="X2">"Fluência: " &amp; ROUND(MEDIAN(IF(($N$2:$N$121="SINTETICO")*($O$2:$O$121="MEDIANA"), $C$2:$C$121)), 1)</f>
        <v>Fluência: 3</v>
      </c>
      <c r="Y2" t="str" cm="1">
        <f t="array" ref="Y2">"Fluência: " &amp; ROUND(AVERAGE(IF(($N$2:$N$121="SINTETICO")*($O$2:$O$121="RUIM"), $C$2:$C$121)), 1)</f>
        <v>Fluência: 2,7</v>
      </c>
      <c r="Z2" t="str" cm="1">
        <f t="array" ref="Z2">"Fluência: " &amp; ROUND(MODE(IF(($N$2:$N$121="SINTETICO")*($O$2:$O$121="RUIM"), $C$2:$C$121)), 1)</f>
        <v>Fluência: 3</v>
      </c>
      <c r="AA2" t="str" cm="1">
        <f t="array" ref="AA2">"Fluência: " &amp; ROUND(MEDIAN(IF(($N$2:$N$121="SINTETICO")*($O$2:$O$121="RUIM"), $C$2:$C$121)), 1)</f>
        <v>Fluência: 3</v>
      </c>
    </row>
    <row r="3" spans="1:27" ht="20.25" customHeight="1">
      <c r="A3" s="1" t="s">
        <v>27</v>
      </c>
      <c r="B3" s="1" t="s">
        <v>32</v>
      </c>
      <c r="C3">
        <v>4</v>
      </c>
      <c r="D3">
        <v>4</v>
      </c>
      <c r="E3">
        <v>4</v>
      </c>
      <c r="F3">
        <v>3</v>
      </c>
      <c r="G3" t="s">
        <v>33</v>
      </c>
      <c r="H3" t="str" cm="1">
        <f t="array" ref="H3">"Coerência: " &amp; ROUND(AVERAGE(IF($N$2:$N$121="ORIGINAL", $D$2:$D$121)), 1)</f>
        <v>Coerência: 4,2</v>
      </c>
      <c r="I3" t="str" cm="1">
        <f t="array" ref="I3">"Coerência: " &amp; ROUND(MODE(IF($N$2:$N$121="ORIGINAL", $D$2:$D$121)), 1)</f>
        <v>Coerência: 4</v>
      </c>
      <c r="J3" t="str" cm="1">
        <f t="array" ref="J3">"Coerência: " &amp; ROUND(MEDIAN(IF($N$2:$N$121="ORIGINAL", $D$2:$D$121)), 1)</f>
        <v>Coerência: 4</v>
      </c>
      <c r="K3" t="str" cm="1">
        <f t="array" ref="K3">"Coerência: " &amp; ROUND(AVERAGE(IF($N$2:$N$121="SINTETICO", $D$2:$D$121)), 1)</f>
        <v>Coerência: 4,5</v>
      </c>
      <c r="L3" t="str" cm="1">
        <f t="array" ref="L3">"Coerência: " &amp; ROUND(MODE(IF($N$2:$N$121="SINTETICO", $D$2:$D$121)), 1)</f>
        <v>Coerência: 5</v>
      </c>
      <c r="M3" t="str" cm="1">
        <f t="array" ref="M3">"Coerência: " &amp; ROUND(MEDIAN(IF($N$2:$N$121="SINTETICO", $D$2:$D$121)), 1)</f>
        <v>Coerência: 5</v>
      </c>
      <c r="N3" t="s">
        <v>34</v>
      </c>
      <c r="P3" t="str" cm="1">
        <f t="array" ref="P3">"Coerência: " &amp; ROUND(AVERAGE(IF(($N$2:$N$121="SINTETICO")*($O$2:$O$121="EXCELENTE"), $D$2:$D$121)), 1)</f>
        <v>Coerência: 5</v>
      </c>
      <c r="Q3" t="str" cm="1">
        <f t="array" ref="Q3">"Coerência: " &amp; ROUND(MODE(IF(($N$2:$N$121="SINTETICO")*($O$2:$O$121="EXCELENTE"), $D$2:$D$121)), 1)</f>
        <v>Coerência: 5</v>
      </c>
      <c r="R3" t="str" cm="1">
        <f t="array" ref="R3">"Coerência: " &amp; ROUND(MEDIAN(IF(($N$2:$N$121="SINTETICO")*($O$2:$O$121="EXCELENTE"), $D$2:$D$121)), 1)</f>
        <v>Coerência: 5</v>
      </c>
      <c r="S3" t="str" cm="1">
        <f t="array" ref="S3">"Coerência: " &amp; ROUND(AVERAGE(IF(($N$2:$N$121="SINTETICO")*($O$2:$O$121="BOA"), $D$2:$D$121)), 1)</f>
        <v>Coerência: 4,9</v>
      </c>
      <c r="T3" t="str" cm="1">
        <f t="array" ref="T3">"Coerência: " &amp; ROUND(MODE(IF(($N$2:$N$121="SINTETICO")*($O$2:$O$121="BOA"), $D$2:$D$121)), 1)</f>
        <v>Coerência: 5</v>
      </c>
      <c r="U3" t="str" cm="1">
        <f t="array" ref="U3">"Coerência: " &amp; ROUND(MEDIAN(IF(($N$2:$N$121="SINTETICO")*($O$2:$O$121="BOA"), $D$2:$D$121)), 1)</f>
        <v>Coerência: 5</v>
      </c>
      <c r="V3" t="str" cm="1">
        <f t="array" ref="V3">"Coerência: " &amp; ROUND(AVERAGE(IF(($N$2:$N$121="SINTETICO")*($O$2:$O$121="MEDIANA"), $D$2:$D$121)), 1)</f>
        <v>Coerência: 3,7</v>
      </c>
      <c r="W3" t="str" cm="1">
        <f t="array" ref="W3">"Coerência: " &amp; ROUND(MODE(IF(($N$2:$N$121="SINTETICO")*($O$2:$O$121="MEDIANA"), $D$2:$D$121)), 1)</f>
        <v>Coerência: 4</v>
      </c>
      <c r="X3" t="str" cm="1">
        <f t="array" ref="X3">"Coerência: " &amp; ROUND(MEDIAN(IF(($N$2:$N$121="SINTETICO")*($O$2:$O$121="MEDIANA"), $D$2:$D$121)), 1)</f>
        <v>Coerência: 4</v>
      </c>
      <c r="Y3" t="str" cm="1">
        <f t="array" ref="Y3">"Coerência: " &amp; ROUND(AVERAGE(IF(($N$2:$N$121="SINTETICO")*($O$2:$O$121="RUIM"), $D$2:$D$121)), 1)</f>
        <v>Coerência: 4,2</v>
      </c>
      <c r="Z3" t="str" cm="1">
        <f t="array" ref="Z3">"Coerência: " &amp; ROUND(MODE(IF(($N$2:$N$121="SINTETICO")*($O$2:$O$121="RUIM"), $D$2:$D$121)), 1)</f>
        <v>Coerência: 4</v>
      </c>
      <c r="AA3" t="str" cm="1">
        <f t="array" ref="AA3">"Coerência: " &amp; ROUND(MEDIAN(IF(($N$2:$N$121="SINTETICO")*($O$2:$O$121="RUIM"), $D$2:$D$121)), 1)</f>
        <v>Coerência: 4</v>
      </c>
    </row>
    <row r="4" spans="1:27" ht="15.75" customHeight="1">
      <c r="A4" s="1" t="s">
        <v>35</v>
      </c>
      <c r="B4" s="1" t="s">
        <v>36</v>
      </c>
      <c r="C4">
        <v>2</v>
      </c>
      <c r="D4">
        <v>2</v>
      </c>
      <c r="E4">
        <v>2</v>
      </c>
      <c r="F4">
        <v>1</v>
      </c>
      <c r="G4" t="s">
        <v>29</v>
      </c>
      <c r="H4" t="str" cm="1">
        <f t="array" ref="H4">"Realismo: " &amp; ROUND(AVERAGE(IF($N$2:$N$121="ORIGINAL", $E$2:$E$121)), 1)</f>
        <v>Realismo: 4,2</v>
      </c>
      <c r="I4" t="str" cm="1">
        <f t="array" ref="I4">"Realismo: " &amp; ROUND(MODE(IF($N$2:$N$121="ORIGINAL", $E$2:$E$121)), 1)</f>
        <v>Realismo: 4</v>
      </c>
      <c r="J4" t="str" cm="1">
        <f t="array" ref="J4">"Realismo: " &amp; ROUND(MEDIAN(IF($N$2:$N$121="ORIGINAL", $E$2:$E$121)), 1)</f>
        <v>Realismo: 4</v>
      </c>
      <c r="K4" t="str" cm="1">
        <f t="array" ref="K4">"Realismo: " &amp; ROUND(AVERAGE(IF($N$2:$N$121="SINTETICO", $E$2:$E$121)), 1)</f>
        <v>Realismo: 4,4</v>
      </c>
      <c r="L4" t="str" cm="1">
        <f t="array" ref="L4">"Realismo: " &amp; ROUND(MODE(IF($N$2:$N$121="SINTETICO", $E$2:$E$121)), 1)</f>
        <v>Realismo: 5</v>
      </c>
      <c r="M4" t="str" cm="1">
        <f t="array" ref="M4">"Realismo: " &amp; ROUND(MEDIAN(IF($N$2:$N$121="SINTETICO", $E$2:$E$121)), 1)</f>
        <v>Realismo: 5</v>
      </c>
      <c r="N4" t="s">
        <v>30</v>
      </c>
      <c r="O4" t="s">
        <v>31</v>
      </c>
      <c r="P4" t="str" cm="1">
        <f t="array" ref="P4">"Realismo: " &amp; ROUND(AVERAGE(IF(($N$2:$N$121="SINTETICO")*($O$2:$O$121="EXCELENTE"), $E$2:$E$121)), 1)</f>
        <v>Realismo: 5</v>
      </c>
      <c r="Q4" t="str" cm="1">
        <f t="array" ref="Q4">"Realismo: " &amp; ROUND(MODE(IF(($N$2:$N$121="SINTETICO")*($O$2:$O$121="EXCELENTE"), $E$2:$E$121)), 1)</f>
        <v>Realismo: 5</v>
      </c>
      <c r="R4" t="str" cm="1">
        <f t="array" ref="R4">"Realismo: " &amp; ROUND(MEDIAN(IF(($N$2:$N$121="SINTETICO")*($O$2:$O$121="EXCELENTE"), $E$2:$E$121)), 1)</f>
        <v>Realismo: 5</v>
      </c>
      <c r="S4" t="str" cm="1">
        <f t="array" ref="S4">"Realismo: " &amp; ROUND(AVERAGE(IF(($N$2:$N$121="SINTETICO")*($O$2:$O$121="BOA"), $E$2:$E$121)), 1)</f>
        <v>Realismo: 4,8</v>
      </c>
      <c r="T4" t="str" cm="1">
        <f t="array" ref="T4">"Realismo: " &amp; ROUND(MODE(IF(($N$2:$N$121="SINTETICO")*($O$2:$O$121="BOA"), $E$2:$E$121)), 1)</f>
        <v>Realismo: 5</v>
      </c>
      <c r="U4" t="str" cm="1">
        <f t="array" ref="U4">"Realismo: " &amp; ROUND(MEDIAN(IF(($N$2:$N$121="SINTETICO")*($O$2:$O$121="BOA"), $E$2:$E$121)), 1)</f>
        <v>Realismo: 5</v>
      </c>
      <c r="V4" t="str" cm="1">
        <f t="array" ref="V4">"Realismo: " &amp; ROUND(AVERAGE(IF(($N$2:$N$121="SINTETICO")*($O$2:$O$121="MEDIANA"), $E$2:$E$121)), 1)</f>
        <v>Realismo: 3,9</v>
      </c>
      <c r="W4" t="str" cm="1">
        <f t="array" ref="W4">"Realismo: " &amp; ROUND(MODE(IF(($N$2:$N$121="SINTETICO")*($O$2:$O$121="MEDIANA"), $E$2:$E$121)), 1)</f>
        <v>Realismo: 4</v>
      </c>
      <c r="X4" t="str" cm="1">
        <f t="array" ref="X4">"Realismo: " &amp; ROUND(MEDIAN(IF(($N$2:$N$121="SINTETICO")*($O$2:$O$121="MEDIANA"), $E$2:$E$121)), 1)</f>
        <v>Realismo: 4</v>
      </c>
      <c r="Y4" t="str" cm="1">
        <f t="array" ref="Y4">"Realismo: " &amp; ROUND(AVERAGE(IF(($N$2:$N$121="SINTETICO")*($O$2:$O$121="RUIM"), $E$2:$E$121)), 1)</f>
        <v>Realismo: 4</v>
      </c>
      <c r="Z4" t="str" cm="1">
        <f t="array" ref="Z4">"Realismo: " &amp; ROUND(MODE(IF(($N$2:$N$121="SINTETICO")*($O$2:$O$121="RUIM"), $E$2:$E$121)), 1)</f>
        <v>Realismo: 4</v>
      </c>
      <c r="AA4" t="str" cm="1">
        <f t="array" ref="AA4">"Realismo: " &amp; ROUND(MEDIAN(IF(($N$2:$N$121="SINTETICO")*($O$2:$O$121="RUIM"), $E$2:$E$121)), 1)</f>
        <v>Realismo: 4</v>
      </c>
    </row>
    <row r="5" spans="1:27" ht="18.75" customHeight="1">
      <c r="A5" s="1" t="s">
        <v>35</v>
      </c>
      <c r="B5" s="1" t="s">
        <v>37</v>
      </c>
      <c r="C5">
        <v>5</v>
      </c>
      <c r="D5">
        <v>4</v>
      </c>
      <c r="E5">
        <v>4</v>
      </c>
      <c r="F5">
        <v>5</v>
      </c>
      <c r="G5" t="s">
        <v>33</v>
      </c>
      <c r="H5" t="str" cm="1">
        <f t="array" ref="H5">"Especificidade: " &amp; ROUND(AVERAGE(IF($N$2:$N$121="ORIGINAL", $F$2:$F$121)), 1)</f>
        <v>Especificidade: 3,3</v>
      </c>
      <c r="I5" t="str" cm="1">
        <f t="array" ref="I5">"Especificidade: " &amp; ROUND(MODE(IF($N$2:$N$121="ORIGINAL", $F$2:$F$121)), 1)</f>
        <v>Especificidade: 4</v>
      </c>
      <c r="J5" t="str" cm="1">
        <f t="array" ref="J5">"Especificidade: " &amp; ROUND(MEDIAN(IF($N$2:$N$121="ORIGINAL", $F$2:$F$121)), 1)</f>
        <v>Especificidade: 4</v>
      </c>
      <c r="K5" t="str" cm="1">
        <f t="array" ref="K5">"Especificidade: " &amp; ROUND(AVERAGE(IF($N$2:$N$121="SINTETICO", $F$2:$F$121)), 1)</f>
        <v>Especificidade: 3,6</v>
      </c>
      <c r="L5" t="str" cm="1">
        <f t="array" ref="L5">"Especificidade: " &amp; ROUND(MODE(IF($N$2:$N$121="SINTETICO", $F$2:$F$121)), 1)</f>
        <v>Especificidade: 5</v>
      </c>
      <c r="M5" t="str" cm="1">
        <f t="array" ref="M5">"Especificidade: " &amp; ROUND(MEDIAN(IF($N$2:$N$121="SINTETICO", $F$2:$F$121)), 1)</f>
        <v>Especificidade: 4</v>
      </c>
      <c r="N5" t="s">
        <v>34</v>
      </c>
      <c r="P5" t="str" cm="1">
        <f t="array" ref="P5">"Especificidade: " &amp; ROUND(AVERAGE(IF(($N$2:$N$121="SINTETICO")*($O$2:$O$121="EXCELENTE"), $F$2:$F$121)), 1)</f>
        <v>Especificidade: 4,9</v>
      </c>
      <c r="Q5" t="str" cm="1">
        <f t="array" ref="Q5">"Especificidade: " &amp; ROUND(MODE(IF(($N$2:$N$121="SINTETICO")*($O$2:$O$121="EXCELENTE"), $F$2:$F$121)), 1)</f>
        <v>Especificidade: 5</v>
      </c>
      <c r="R5" t="str" cm="1">
        <f t="array" ref="R5">"Especificidade: " &amp; ROUND(MEDIAN(IF(($N$2:$N$121="SINTETICO")*($O$2:$O$121="EXCELENTE"), $F$2:$F$121)), 1)</f>
        <v>Especificidade: 5</v>
      </c>
      <c r="S5" t="str" cm="1">
        <f t="array" ref="S5">"Especificidade: " &amp; ROUND(AVERAGE(IF(($N$2:$N$121="SINTETICO")*($O$2:$O$121="BOA"), $F$2:$F$121)), 1)</f>
        <v>Especificidade: 3,9</v>
      </c>
      <c r="T5" t="str" cm="1">
        <f t="array" ref="T5">"Especificidade: " &amp; ROUND(MODE(IF(($N$2:$N$121="SINTETICO")*($O$2:$O$121="BOA"), $F$2:$F$121)), 1)</f>
        <v>Especificidade: 4</v>
      </c>
      <c r="U5" t="str" cm="1">
        <f t="array" ref="U5">"Especificidade: " &amp; ROUND(MEDIAN(IF(($N$2:$N$121="SINTETICO")*($O$2:$O$121="BOA"), $F$2:$F$121)), 1)</f>
        <v>Especificidade: 4</v>
      </c>
      <c r="V5" t="str" cm="1">
        <f t="array" ref="V5">"Especificidade: " &amp; ROUND(AVERAGE(IF(($N$2:$N$121="SINTETICO")*($O$2:$O$121="MEDIANA"), $F$2:$F$121)), 1)</f>
        <v>Especificidade: 2,9</v>
      </c>
      <c r="W5" t="str" cm="1">
        <f t="array" ref="W5">"Especificidade: " &amp; ROUND(MODE(IF(($N$2:$N$121="SINTETICO")*($O$2:$O$121="MEDIANA"), $F$2:$F$121)), 1)</f>
        <v>Especificidade: 3</v>
      </c>
      <c r="X5" t="str" cm="1">
        <f t="array" ref="X5">"Especificidade: " &amp; ROUND(MEDIAN(IF(($N$2:$N$121="SINTETICO")*($O$2:$O$121="MEDIANA"), $F$2:$F$121)), 1)</f>
        <v>Especificidade: 3</v>
      </c>
      <c r="Y5" t="str" cm="1">
        <f t="array" ref="Y5">"Especificidade: " &amp; ROUND(AVERAGE(IF(($N$2:$N$121="SINTETICO")*($O$2:$O$121="RUIM"), $F$2:$F$121)), 1)</f>
        <v>Especificidade: 2,7</v>
      </c>
      <c r="Z5" s="2" t="str" cm="1">
        <f t="array" ref="Z5">"Especificidade: " &amp; ROUND(MODE(IF(($N$2:$N$121="SINTETICO")*($O$2:$O$121="RUIM"), $F$2:$F$121)), 1)</f>
        <v>Especificidade: 2</v>
      </c>
      <c r="AA5" t="str" cm="1">
        <f t="array" ref="AA5">"Especificidade: " &amp; ROUND(MEDIAN(IF(($N$2:$N$121="SINTETICO")*($O$2:$O$121="RUIM"), $F$2:$F$121)), 1)</f>
        <v>Especificidade: 3</v>
      </c>
    </row>
    <row r="6" spans="1:27" ht="18" customHeight="1">
      <c r="A6" s="1" t="s">
        <v>38</v>
      </c>
      <c r="B6" s="1" t="s">
        <v>39</v>
      </c>
      <c r="C6">
        <v>2</v>
      </c>
      <c r="D6">
        <v>5</v>
      </c>
      <c r="E6">
        <v>4</v>
      </c>
      <c r="F6">
        <v>5</v>
      </c>
      <c r="G6" t="s">
        <v>33</v>
      </c>
      <c r="N6" t="s">
        <v>30</v>
      </c>
      <c r="O6" t="s">
        <v>31</v>
      </c>
    </row>
    <row r="7" spans="1:27" ht="20.25" customHeight="1">
      <c r="A7" s="1" t="s">
        <v>38</v>
      </c>
      <c r="B7" s="1" t="s">
        <v>40</v>
      </c>
      <c r="C7">
        <v>3</v>
      </c>
      <c r="D7">
        <v>4</v>
      </c>
      <c r="E7">
        <v>4</v>
      </c>
      <c r="F7">
        <v>4</v>
      </c>
      <c r="G7" t="s">
        <v>29</v>
      </c>
      <c r="N7" t="s">
        <v>34</v>
      </c>
    </row>
    <row r="8" spans="1:27" ht="19.5" customHeight="1">
      <c r="A8" s="1" t="s">
        <v>41</v>
      </c>
      <c r="B8" s="1" t="s">
        <v>42</v>
      </c>
      <c r="C8">
        <v>5</v>
      </c>
      <c r="D8">
        <v>5</v>
      </c>
      <c r="E8">
        <v>5</v>
      </c>
      <c r="F8">
        <v>5</v>
      </c>
      <c r="G8" t="s">
        <v>29</v>
      </c>
      <c r="N8" t="s">
        <v>30</v>
      </c>
      <c r="O8" t="s">
        <v>43</v>
      </c>
    </row>
    <row r="9" spans="1:27" ht="17.25" customHeight="1">
      <c r="A9" s="1" t="s">
        <v>41</v>
      </c>
      <c r="B9" s="1" t="s">
        <v>44</v>
      </c>
      <c r="C9">
        <v>4</v>
      </c>
      <c r="D9">
        <v>3</v>
      </c>
      <c r="E9">
        <v>2</v>
      </c>
      <c r="F9">
        <v>1</v>
      </c>
      <c r="G9" t="s">
        <v>33</v>
      </c>
      <c r="N9" t="s">
        <v>34</v>
      </c>
    </row>
    <row r="10" spans="1:27" ht="17.25" customHeight="1">
      <c r="A10" s="1" t="s">
        <v>45</v>
      </c>
      <c r="B10" s="1" t="s">
        <v>46</v>
      </c>
      <c r="C10">
        <v>4</v>
      </c>
      <c r="D10">
        <v>3</v>
      </c>
      <c r="E10">
        <v>4</v>
      </c>
      <c r="F10">
        <v>1</v>
      </c>
      <c r="G10" t="s">
        <v>33</v>
      </c>
      <c r="N10" t="s">
        <v>34</v>
      </c>
    </row>
    <row r="11" spans="1:27" ht="20.25" customHeight="1">
      <c r="A11" s="1" t="s">
        <v>45</v>
      </c>
      <c r="B11" s="1" t="s">
        <v>47</v>
      </c>
      <c r="C11">
        <v>5</v>
      </c>
      <c r="D11">
        <v>5</v>
      </c>
      <c r="E11">
        <v>4</v>
      </c>
      <c r="F11">
        <v>5</v>
      </c>
      <c r="G11" t="s">
        <v>29</v>
      </c>
      <c r="N11" t="s">
        <v>30</v>
      </c>
      <c r="O11" t="s">
        <v>48</v>
      </c>
    </row>
    <row r="12" spans="1:27" ht="18.75" customHeight="1">
      <c r="A12" s="1" t="s">
        <v>49</v>
      </c>
      <c r="B12" s="1" t="s">
        <v>50</v>
      </c>
      <c r="C12">
        <v>5</v>
      </c>
      <c r="D12">
        <v>5</v>
      </c>
      <c r="E12">
        <v>5</v>
      </c>
      <c r="F12">
        <v>4</v>
      </c>
      <c r="G12" t="s">
        <v>29</v>
      </c>
      <c r="N12" t="s">
        <v>30</v>
      </c>
      <c r="O12" t="s">
        <v>48</v>
      </c>
    </row>
    <row r="13" spans="1:27" ht="17.25" customHeight="1">
      <c r="A13" s="1" t="s">
        <v>49</v>
      </c>
      <c r="B13" s="1" t="s">
        <v>51</v>
      </c>
      <c r="C13">
        <v>4</v>
      </c>
      <c r="D13">
        <v>4</v>
      </c>
      <c r="E13">
        <v>4</v>
      </c>
      <c r="F13">
        <v>3</v>
      </c>
      <c r="G13" t="s">
        <v>33</v>
      </c>
      <c r="N13" t="s">
        <v>34</v>
      </c>
    </row>
    <row r="14" spans="1:27" ht="17.25" customHeight="1">
      <c r="A14" s="1" t="s">
        <v>52</v>
      </c>
      <c r="B14" s="1" t="s">
        <v>53</v>
      </c>
      <c r="C14">
        <v>5</v>
      </c>
      <c r="D14">
        <v>5</v>
      </c>
      <c r="E14">
        <v>5</v>
      </c>
      <c r="F14">
        <v>5</v>
      </c>
      <c r="G14" t="s">
        <v>29</v>
      </c>
      <c r="N14" t="s">
        <v>30</v>
      </c>
      <c r="O14" t="s">
        <v>43</v>
      </c>
    </row>
    <row r="15" spans="1:27" ht="18.75" customHeight="1">
      <c r="A15" s="1" t="s">
        <v>52</v>
      </c>
      <c r="B15" s="1" t="s">
        <v>54</v>
      </c>
      <c r="C15">
        <v>3</v>
      </c>
      <c r="D15">
        <v>4</v>
      </c>
      <c r="E15">
        <v>3</v>
      </c>
      <c r="F15">
        <v>2</v>
      </c>
      <c r="G15" t="s">
        <v>33</v>
      </c>
      <c r="N15" t="s">
        <v>34</v>
      </c>
    </row>
    <row r="16" spans="1:27" ht="15.75" customHeight="1">
      <c r="A16" s="1" t="s">
        <v>55</v>
      </c>
      <c r="B16" s="1" t="s">
        <v>56</v>
      </c>
      <c r="C16">
        <v>5</v>
      </c>
      <c r="D16">
        <v>5</v>
      </c>
      <c r="E16">
        <v>5</v>
      </c>
      <c r="F16">
        <v>4</v>
      </c>
      <c r="G16" t="s">
        <v>29</v>
      </c>
      <c r="N16" t="s">
        <v>30</v>
      </c>
      <c r="O16" t="s">
        <v>48</v>
      </c>
    </row>
    <row r="17" spans="1:15" ht="16.5" customHeight="1">
      <c r="A17" s="1" t="s">
        <v>55</v>
      </c>
      <c r="B17" s="1" t="s">
        <v>57</v>
      </c>
      <c r="C17">
        <v>1</v>
      </c>
      <c r="D17">
        <v>3</v>
      </c>
      <c r="E17">
        <v>2</v>
      </c>
      <c r="F17">
        <v>3</v>
      </c>
      <c r="G17" t="s">
        <v>33</v>
      </c>
      <c r="N17" t="s">
        <v>34</v>
      </c>
    </row>
    <row r="18" spans="1:15" ht="17.25" customHeight="1">
      <c r="A18" s="1" t="s">
        <v>58</v>
      </c>
      <c r="B18" s="1" t="s">
        <v>59</v>
      </c>
      <c r="C18">
        <v>4</v>
      </c>
      <c r="D18">
        <v>4</v>
      </c>
      <c r="E18">
        <v>4</v>
      </c>
      <c r="F18">
        <v>2</v>
      </c>
      <c r="G18" t="s">
        <v>33</v>
      </c>
      <c r="N18" t="s">
        <v>30</v>
      </c>
      <c r="O18" t="s">
        <v>48</v>
      </c>
    </row>
    <row r="19" spans="1:15" ht="18" customHeight="1">
      <c r="A19" s="1" t="s">
        <v>58</v>
      </c>
      <c r="B19" s="1" t="s">
        <v>60</v>
      </c>
      <c r="C19">
        <v>3</v>
      </c>
      <c r="D19">
        <v>4</v>
      </c>
      <c r="E19">
        <v>4</v>
      </c>
      <c r="F19">
        <v>2</v>
      </c>
      <c r="G19" t="s">
        <v>29</v>
      </c>
      <c r="N19" t="s">
        <v>34</v>
      </c>
    </row>
    <row r="20" spans="1:15" ht="15.75" customHeight="1">
      <c r="A20" s="1" t="s">
        <v>61</v>
      </c>
      <c r="B20" s="1" t="s">
        <v>62</v>
      </c>
      <c r="C20">
        <v>2</v>
      </c>
      <c r="D20">
        <v>4</v>
      </c>
      <c r="E20">
        <v>4</v>
      </c>
      <c r="F20">
        <v>2</v>
      </c>
      <c r="G20" t="s">
        <v>33</v>
      </c>
      <c r="N20" t="s">
        <v>30</v>
      </c>
      <c r="O20" t="s">
        <v>31</v>
      </c>
    </row>
    <row r="21" spans="1:15" ht="18" customHeight="1">
      <c r="A21" s="1" t="s">
        <v>61</v>
      </c>
      <c r="B21" s="1" t="s">
        <v>63</v>
      </c>
      <c r="C21">
        <v>4</v>
      </c>
      <c r="D21">
        <v>4</v>
      </c>
      <c r="E21">
        <v>4</v>
      </c>
      <c r="F21">
        <v>3</v>
      </c>
      <c r="G21" t="s">
        <v>29</v>
      </c>
      <c r="N21" t="s">
        <v>34</v>
      </c>
    </row>
    <row r="22" spans="1:15" ht="19.5" customHeight="1">
      <c r="A22" s="1" t="s">
        <v>64</v>
      </c>
      <c r="B22" s="1" t="s">
        <v>65</v>
      </c>
      <c r="C22">
        <v>5</v>
      </c>
      <c r="D22">
        <v>5</v>
      </c>
      <c r="E22">
        <v>5</v>
      </c>
      <c r="F22">
        <v>5</v>
      </c>
      <c r="G22" t="s">
        <v>29</v>
      </c>
      <c r="N22" t="s">
        <v>30</v>
      </c>
      <c r="O22" t="s">
        <v>43</v>
      </c>
    </row>
    <row r="23" spans="1:15" ht="19.5" customHeight="1">
      <c r="A23" s="1" t="s">
        <v>64</v>
      </c>
      <c r="B23" s="1" t="s">
        <v>66</v>
      </c>
      <c r="C23">
        <v>2</v>
      </c>
      <c r="D23">
        <v>3</v>
      </c>
      <c r="E23">
        <v>4</v>
      </c>
      <c r="F23">
        <v>1</v>
      </c>
      <c r="G23" t="s">
        <v>33</v>
      </c>
      <c r="N23" t="s">
        <v>34</v>
      </c>
    </row>
    <row r="24" spans="1:15" ht="17.25" customHeight="1">
      <c r="A24" s="1" t="s">
        <v>67</v>
      </c>
      <c r="B24" s="1" t="s">
        <v>68</v>
      </c>
      <c r="C24">
        <v>5</v>
      </c>
      <c r="D24">
        <v>5</v>
      </c>
      <c r="E24">
        <v>5</v>
      </c>
      <c r="F24">
        <v>5</v>
      </c>
      <c r="G24" t="s">
        <v>29</v>
      </c>
      <c r="N24" t="s">
        <v>30</v>
      </c>
      <c r="O24" t="s">
        <v>43</v>
      </c>
    </row>
    <row r="25" spans="1:15" ht="15.75" customHeight="1">
      <c r="A25" s="1" t="s">
        <v>67</v>
      </c>
      <c r="B25" s="1" t="s">
        <v>69</v>
      </c>
      <c r="C25">
        <v>2</v>
      </c>
      <c r="D25">
        <v>2</v>
      </c>
      <c r="E25">
        <v>1</v>
      </c>
      <c r="F25">
        <v>1</v>
      </c>
      <c r="G25" t="s">
        <v>33</v>
      </c>
      <c r="N25" t="s">
        <v>34</v>
      </c>
    </row>
    <row r="26" spans="1:15" ht="17.25" customHeight="1">
      <c r="A26" s="1" t="s">
        <v>70</v>
      </c>
      <c r="B26" s="1" t="s">
        <v>71</v>
      </c>
      <c r="C26">
        <v>3</v>
      </c>
      <c r="D26">
        <v>3</v>
      </c>
      <c r="E26">
        <v>4</v>
      </c>
      <c r="F26">
        <v>5</v>
      </c>
      <c r="G26" t="s">
        <v>33</v>
      </c>
      <c r="N26" t="s">
        <v>30</v>
      </c>
      <c r="O26" t="s">
        <v>31</v>
      </c>
    </row>
    <row r="27" spans="1:15" ht="17.25" customHeight="1">
      <c r="A27" s="1" t="s">
        <v>70</v>
      </c>
      <c r="B27" s="1" t="s">
        <v>72</v>
      </c>
      <c r="C27">
        <v>3</v>
      </c>
      <c r="D27">
        <v>3</v>
      </c>
      <c r="E27">
        <v>3</v>
      </c>
      <c r="F27">
        <v>1</v>
      </c>
      <c r="G27" t="s">
        <v>29</v>
      </c>
      <c r="N27" t="s">
        <v>34</v>
      </c>
    </row>
    <row r="28" spans="1:15" ht="20.25" customHeight="1">
      <c r="A28" s="1" t="s">
        <v>73</v>
      </c>
      <c r="B28" s="1" t="s">
        <v>74</v>
      </c>
      <c r="C28">
        <v>4</v>
      </c>
      <c r="D28">
        <v>5</v>
      </c>
      <c r="E28">
        <v>5</v>
      </c>
      <c r="F28">
        <v>4</v>
      </c>
      <c r="G28" t="s">
        <v>29</v>
      </c>
      <c r="N28" t="s">
        <v>30</v>
      </c>
      <c r="O28" t="s">
        <v>48</v>
      </c>
    </row>
    <row r="29" spans="1:15" ht="20.25" customHeight="1">
      <c r="A29" s="1" t="s">
        <v>73</v>
      </c>
      <c r="B29" s="1" t="s">
        <v>75</v>
      </c>
      <c r="C29">
        <v>3</v>
      </c>
      <c r="D29">
        <v>3</v>
      </c>
      <c r="E29">
        <v>4</v>
      </c>
      <c r="F29">
        <v>3</v>
      </c>
      <c r="G29" t="s">
        <v>33</v>
      </c>
      <c r="N29" t="s">
        <v>34</v>
      </c>
    </row>
    <row r="30" spans="1:15" ht="18.75" customHeight="1">
      <c r="A30" s="1" t="s">
        <v>76</v>
      </c>
      <c r="B30" s="1" t="s">
        <v>77</v>
      </c>
      <c r="C30">
        <v>4</v>
      </c>
      <c r="D30">
        <v>4</v>
      </c>
      <c r="E30">
        <v>5</v>
      </c>
      <c r="F30">
        <v>4</v>
      </c>
      <c r="G30" t="s">
        <v>33</v>
      </c>
      <c r="N30" t="s">
        <v>34</v>
      </c>
    </row>
    <row r="31" spans="1:15" ht="17.25" customHeight="1">
      <c r="A31" s="1" t="s">
        <v>76</v>
      </c>
      <c r="B31" s="1" t="s">
        <v>78</v>
      </c>
      <c r="C31">
        <v>4</v>
      </c>
      <c r="D31">
        <v>5</v>
      </c>
      <c r="E31">
        <v>4</v>
      </c>
      <c r="F31">
        <v>3</v>
      </c>
      <c r="G31" t="s">
        <v>29</v>
      </c>
      <c r="N31" t="s">
        <v>30</v>
      </c>
      <c r="O31" t="s">
        <v>31</v>
      </c>
    </row>
    <row r="32" spans="1:15" ht="18" customHeight="1">
      <c r="A32" s="1" t="s">
        <v>79</v>
      </c>
      <c r="B32" s="1" t="s">
        <v>80</v>
      </c>
      <c r="C32">
        <v>2</v>
      </c>
      <c r="D32">
        <v>5</v>
      </c>
      <c r="E32">
        <v>1</v>
      </c>
      <c r="F32">
        <v>1</v>
      </c>
      <c r="G32" t="s">
        <v>29</v>
      </c>
      <c r="N32" t="s">
        <v>30</v>
      </c>
      <c r="O32" t="s">
        <v>81</v>
      </c>
    </row>
    <row r="33" spans="1:15" ht="17.25" customHeight="1">
      <c r="A33" s="1" t="s">
        <v>79</v>
      </c>
      <c r="B33" s="1" t="s">
        <v>82</v>
      </c>
      <c r="C33">
        <v>3</v>
      </c>
      <c r="D33">
        <v>4</v>
      </c>
      <c r="E33">
        <v>4</v>
      </c>
      <c r="F33">
        <v>2</v>
      </c>
      <c r="G33" t="s">
        <v>33</v>
      </c>
      <c r="N33" t="s">
        <v>34</v>
      </c>
    </row>
    <row r="34" spans="1:15" ht="19.5" customHeight="1">
      <c r="A34" s="1" t="s">
        <v>83</v>
      </c>
      <c r="B34" s="1" t="s">
        <v>84</v>
      </c>
      <c r="C34">
        <v>4</v>
      </c>
      <c r="D34">
        <v>4</v>
      </c>
      <c r="E34">
        <v>4</v>
      </c>
      <c r="F34">
        <v>2</v>
      </c>
      <c r="G34" t="s">
        <v>33</v>
      </c>
      <c r="N34" t="s">
        <v>30</v>
      </c>
      <c r="O34" t="s">
        <v>81</v>
      </c>
    </row>
    <row r="35" spans="1:15" ht="17.25" customHeight="1">
      <c r="A35" s="1" t="s">
        <v>83</v>
      </c>
      <c r="B35" s="1" t="s">
        <v>85</v>
      </c>
      <c r="C35">
        <v>4</v>
      </c>
      <c r="D35">
        <v>4</v>
      </c>
      <c r="E35">
        <v>4</v>
      </c>
      <c r="F35">
        <v>1</v>
      </c>
      <c r="G35" t="s">
        <v>29</v>
      </c>
      <c r="N35" t="s">
        <v>34</v>
      </c>
    </row>
    <row r="36" spans="1:15" ht="15" customHeight="1">
      <c r="A36" s="1" t="s">
        <v>86</v>
      </c>
      <c r="B36" s="1" t="s">
        <v>87</v>
      </c>
      <c r="C36">
        <v>4</v>
      </c>
      <c r="D36">
        <v>5</v>
      </c>
      <c r="E36">
        <v>5</v>
      </c>
      <c r="F36">
        <v>4</v>
      </c>
      <c r="G36" t="s">
        <v>33</v>
      </c>
      <c r="N36" t="s">
        <v>34</v>
      </c>
    </row>
    <row r="37" spans="1:15" ht="18.75" customHeight="1">
      <c r="A37" s="1" t="s">
        <v>86</v>
      </c>
      <c r="B37" s="1" t="s">
        <v>88</v>
      </c>
      <c r="C37">
        <v>5</v>
      </c>
      <c r="D37">
        <v>5</v>
      </c>
      <c r="E37">
        <v>5</v>
      </c>
      <c r="F37">
        <v>5</v>
      </c>
      <c r="G37" t="s">
        <v>29</v>
      </c>
      <c r="N37" t="s">
        <v>30</v>
      </c>
      <c r="O37" t="s">
        <v>43</v>
      </c>
    </row>
    <row r="38" spans="1:15" ht="18.75" customHeight="1">
      <c r="A38" s="1" t="s">
        <v>89</v>
      </c>
      <c r="B38" s="1" t="s">
        <v>90</v>
      </c>
      <c r="C38">
        <v>4</v>
      </c>
      <c r="D38">
        <v>5</v>
      </c>
      <c r="E38">
        <v>4</v>
      </c>
      <c r="F38">
        <v>3</v>
      </c>
      <c r="G38" s="2" t="s">
        <v>29</v>
      </c>
      <c r="N38" t="s">
        <v>34</v>
      </c>
    </row>
    <row r="39" spans="1:15" ht="17.25" customHeight="1">
      <c r="A39" s="1" t="s">
        <v>89</v>
      </c>
      <c r="B39" s="1" t="s">
        <v>91</v>
      </c>
      <c r="C39">
        <v>5</v>
      </c>
      <c r="D39">
        <v>5</v>
      </c>
      <c r="E39">
        <v>4</v>
      </c>
      <c r="F39">
        <v>3</v>
      </c>
      <c r="G39" t="s">
        <v>33</v>
      </c>
      <c r="N39" t="s">
        <v>30</v>
      </c>
      <c r="O39" t="s">
        <v>48</v>
      </c>
    </row>
    <row r="40" spans="1:15" ht="17.25" customHeight="1">
      <c r="A40" s="1" t="s">
        <v>92</v>
      </c>
      <c r="B40" s="1" t="s">
        <v>93</v>
      </c>
      <c r="C40">
        <v>2</v>
      </c>
      <c r="D40">
        <v>3</v>
      </c>
      <c r="E40">
        <v>4</v>
      </c>
      <c r="F40">
        <v>2</v>
      </c>
      <c r="G40" t="s">
        <v>33</v>
      </c>
      <c r="N40" t="s">
        <v>30</v>
      </c>
      <c r="O40" t="s">
        <v>81</v>
      </c>
    </row>
    <row r="41" spans="1:15" ht="18.75" customHeight="1">
      <c r="A41" s="1" t="s">
        <v>92</v>
      </c>
      <c r="B41" s="1" t="s">
        <v>94</v>
      </c>
      <c r="C41">
        <v>4</v>
      </c>
      <c r="D41">
        <v>4</v>
      </c>
      <c r="E41">
        <v>4</v>
      </c>
      <c r="F41">
        <v>3</v>
      </c>
      <c r="G41" t="s">
        <v>29</v>
      </c>
      <c r="N41" t="s">
        <v>34</v>
      </c>
    </row>
    <row r="42" spans="1:15" ht="18" customHeight="1">
      <c r="A42" s="1" t="s">
        <v>95</v>
      </c>
      <c r="B42" s="1" t="s">
        <v>96</v>
      </c>
      <c r="C42">
        <v>5</v>
      </c>
      <c r="D42">
        <v>5</v>
      </c>
      <c r="E42">
        <v>5</v>
      </c>
      <c r="F42">
        <v>5</v>
      </c>
      <c r="G42" t="s">
        <v>29</v>
      </c>
      <c r="N42" t="s">
        <v>30</v>
      </c>
      <c r="O42" t="s">
        <v>43</v>
      </c>
    </row>
    <row r="43" spans="1:15" ht="17.25" customHeight="1">
      <c r="A43" s="1" t="s">
        <v>95</v>
      </c>
      <c r="B43" s="1" t="s">
        <v>97</v>
      </c>
      <c r="C43">
        <v>4</v>
      </c>
      <c r="D43">
        <v>4</v>
      </c>
      <c r="E43">
        <v>4</v>
      </c>
      <c r="F43">
        <v>3</v>
      </c>
      <c r="G43" t="s">
        <v>33</v>
      </c>
      <c r="N43" t="s">
        <v>34</v>
      </c>
    </row>
    <row r="44" spans="1:15" ht="17.25" customHeight="1">
      <c r="A44" s="1" t="s">
        <v>98</v>
      </c>
      <c r="B44" s="1" t="s">
        <v>99</v>
      </c>
      <c r="C44">
        <v>4</v>
      </c>
      <c r="D44">
        <v>4</v>
      </c>
      <c r="E44">
        <v>4</v>
      </c>
      <c r="F44">
        <v>3</v>
      </c>
      <c r="G44" t="s">
        <v>33</v>
      </c>
      <c r="N44" t="s">
        <v>34</v>
      </c>
    </row>
    <row r="45" spans="1:15" ht="17.25" customHeight="1">
      <c r="A45" s="1" t="s">
        <v>98</v>
      </c>
      <c r="B45" s="1" t="s">
        <v>100</v>
      </c>
      <c r="C45">
        <v>3</v>
      </c>
      <c r="D45">
        <v>4</v>
      </c>
      <c r="E45">
        <v>4</v>
      </c>
      <c r="F45">
        <v>3</v>
      </c>
      <c r="G45" t="s">
        <v>29</v>
      </c>
      <c r="N45" t="s">
        <v>30</v>
      </c>
      <c r="O45" t="s">
        <v>81</v>
      </c>
    </row>
    <row r="46" spans="1:15" ht="20.25" customHeight="1">
      <c r="A46" s="1" t="s">
        <v>101</v>
      </c>
      <c r="B46" s="1" t="s">
        <v>102</v>
      </c>
      <c r="C46">
        <v>4</v>
      </c>
      <c r="D46">
        <v>4</v>
      </c>
      <c r="E46">
        <v>4</v>
      </c>
      <c r="F46">
        <v>2</v>
      </c>
      <c r="G46" t="s">
        <v>29</v>
      </c>
      <c r="N46" t="s">
        <v>30</v>
      </c>
      <c r="O46" t="s">
        <v>31</v>
      </c>
    </row>
    <row r="47" spans="1:15" ht="18" customHeight="1">
      <c r="A47" s="1" t="s">
        <v>101</v>
      </c>
      <c r="B47" s="1" t="s">
        <v>103</v>
      </c>
      <c r="C47">
        <v>3</v>
      </c>
      <c r="D47">
        <v>4</v>
      </c>
      <c r="E47">
        <v>4</v>
      </c>
      <c r="F47">
        <v>3</v>
      </c>
      <c r="G47" t="s">
        <v>33</v>
      </c>
      <c r="N47" t="s">
        <v>34</v>
      </c>
    </row>
    <row r="48" spans="1:15" ht="20.25" customHeight="1">
      <c r="A48" s="1" t="s">
        <v>104</v>
      </c>
      <c r="B48" s="1" t="s">
        <v>105</v>
      </c>
      <c r="C48">
        <v>4</v>
      </c>
      <c r="D48">
        <v>5</v>
      </c>
      <c r="E48">
        <v>4</v>
      </c>
      <c r="F48">
        <v>3</v>
      </c>
      <c r="G48" t="s">
        <v>33</v>
      </c>
      <c r="N48" t="s">
        <v>34</v>
      </c>
    </row>
    <row r="49" spans="1:15" ht="18" customHeight="1">
      <c r="A49" s="1" t="s">
        <v>104</v>
      </c>
      <c r="B49" s="1" t="s">
        <v>106</v>
      </c>
      <c r="C49">
        <v>3</v>
      </c>
      <c r="D49">
        <v>4</v>
      </c>
      <c r="E49">
        <v>4</v>
      </c>
      <c r="F49">
        <v>2</v>
      </c>
      <c r="G49" t="s">
        <v>29</v>
      </c>
      <c r="N49" t="s">
        <v>30</v>
      </c>
      <c r="O49" t="s">
        <v>81</v>
      </c>
    </row>
    <row r="50" spans="1:15" ht="17.25" customHeight="1">
      <c r="A50" s="1" t="s">
        <v>107</v>
      </c>
      <c r="B50" s="1" t="s">
        <v>108</v>
      </c>
      <c r="C50">
        <v>4</v>
      </c>
      <c r="D50">
        <v>4</v>
      </c>
      <c r="E50">
        <v>5</v>
      </c>
      <c r="F50">
        <v>4</v>
      </c>
      <c r="G50" t="s">
        <v>33</v>
      </c>
      <c r="N50" t="s">
        <v>34</v>
      </c>
    </row>
    <row r="51" spans="1:15" ht="15.75" customHeight="1">
      <c r="A51" s="1" t="s">
        <v>107</v>
      </c>
      <c r="B51" s="1" t="s">
        <v>109</v>
      </c>
      <c r="C51">
        <v>5</v>
      </c>
      <c r="D51">
        <v>5</v>
      </c>
      <c r="E51">
        <v>5</v>
      </c>
      <c r="F51">
        <v>5</v>
      </c>
      <c r="G51" t="s">
        <v>29</v>
      </c>
      <c r="N51" t="s">
        <v>30</v>
      </c>
      <c r="O51" t="s">
        <v>43</v>
      </c>
    </row>
    <row r="52" spans="1:15" ht="17.25" customHeight="1">
      <c r="A52" s="1" t="s">
        <v>110</v>
      </c>
      <c r="B52" s="1" t="s">
        <v>111</v>
      </c>
      <c r="C52">
        <v>5</v>
      </c>
      <c r="D52">
        <v>5</v>
      </c>
      <c r="E52">
        <v>5</v>
      </c>
      <c r="F52">
        <v>4</v>
      </c>
      <c r="G52" t="s">
        <v>29</v>
      </c>
      <c r="N52" t="s">
        <v>30</v>
      </c>
      <c r="O52" t="s">
        <v>48</v>
      </c>
    </row>
    <row r="53" spans="1:15" ht="16.5" customHeight="1">
      <c r="A53" s="1" t="s">
        <v>110</v>
      </c>
      <c r="B53" s="1" t="s">
        <v>112</v>
      </c>
      <c r="C53">
        <v>4</v>
      </c>
      <c r="D53">
        <v>4</v>
      </c>
      <c r="E53">
        <v>4</v>
      </c>
      <c r="F53">
        <v>3</v>
      </c>
      <c r="G53" t="s">
        <v>33</v>
      </c>
      <c r="N53" t="s">
        <v>34</v>
      </c>
    </row>
    <row r="54" spans="1:15" ht="17.25" customHeight="1">
      <c r="A54" s="1" t="s">
        <v>113</v>
      </c>
      <c r="B54" s="1" t="s">
        <v>114</v>
      </c>
      <c r="C54">
        <v>3</v>
      </c>
      <c r="D54">
        <v>4</v>
      </c>
      <c r="E54">
        <v>4</v>
      </c>
      <c r="F54">
        <v>3</v>
      </c>
      <c r="G54" t="s">
        <v>29</v>
      </c>
      <c r="N54" t="s">
        <v>30</v>
      </c>
      <c r="O54" t="s">
        <v>81</v>
      </c>
    </row>
    <row r="55" spans="1:15" ht="16.5" customHeight="1">
      <c r="A55" s="1" t="s">
        <v>113</v>
      </c>
      <c r="B55" s="1" t="s">
        <v>115</v>
      </c>
      <c r="C55">
        <v>4</v>
      </c>
      <c r="D55">
        <v>5</v>
      </c>
      <c r="E55">
        <v>5</v>
      </c>
      <c r="F55">
        <v>4</v>
      </c>
      <c r="G55" t="s">
        <v>33</v>
      </c>
      <c r="N55" t="s">
        <v>34</v>
      </c>
    </row>
    <row r="56" spans="1:15" ht="18" customHeight="1">
      <c r="A56" s="1" t="s">
        <v>116</v>
      </c>
      <c r="B56" s="1" t="s">
        <v>117</v>
      </c>
      <c r="C56">
        <v>3</v>
      </c>
      <c r="D56">
        <v>4</v>
      </c>
      <c r="E56">
        <v>5</v>
      </c>
      <c r="F56">
        <v>3</v>
      </c>
      <c r="G56" t="s">
        <v>29</v>
      </c>
      <c r="N56" t="s">
        <v>30</v>
      </c>
      <c r="O56" t="s">
        <v>31</v>
      </c>
    </row>
    <row r="57" spans="1:15" ht="18" customHeight="1">
      <c r="A57" s="1" t="s">
        <v>116</v>
      </c>
      <c r="B57" s="1" t="s">
        <v>118</v>
      </c>
      <c r="C57">
        <v>4</v>
      </c>
      <c r="D57">
        <v>5</v>
      </c>
      <c r="E57">
        <v>4</v>
      </c>
      <c r="F57">
        <v>4</v>
      </c>
      <c r="G57" t="s">
        <v>33</v>
      </c>
      <c r="N57" t="s">
        <v>34</v>
      </c>
    </row>
    <row r="58" spans="1:15" ht="17.25" customHeight="1">
      <c r="A58" s="1" t="s">
        <v>119</v>
      </c>
      <c r="B58" s="1" t="s">
        <v>120</v>
      </c>
      <c r="C58">
        <v>4</v>
      </c>
      <c r="D58">
        <v>5</v>
      </c>
      <c r="E58">
        <v>5</v>
      </c>
      <c r="F58">
        <v>5</v>
      </c>
      <c r="G58" t="s">
        <v>33</v>
      </c>
      <c r="N58" t="s">
        <v>34</v>
      </c>
    </row>
    <row r="59" spans="1:15" ht="17.25" customHeight="1">
      <c r="A59" s="1" t="s">
        <v>119</v>
      </c>
      <c r="B59" s="1" t="s">
        <v>121</v>
      </c>
      <c r="C59">
        <v>3</v>
      </c>
      <c r="D59">
        <v>4</v>
      </c>
      <c r="E59">
        <v>4</v>
      </c>
      <c r="F59">
        <v>2</v>
      </c>
      <c r="G59" t="s">
        <v>29</v>
      </c>
      <c r="N59" t="s">
        <v>30</v>
      </c>
      <c r="O59" t="s">
        <v>81</v>
      </c>
    </row>
    <row r="60" spans="1:15" ht="18.75" customHeight="1">
      <c r="A60" s="1" t="s">
        <v>122</v>
      </c>
      <c r="B60" s="1" t="s">
        <v>123</v>
      </c>
      <c r="C60">
        <v>4</v>
      </c>
      <c r="D60">
        <v>5</v>
      </c>
      <c r="E60">
        <v>4</v>
      </c>
      <c r="F60">
        <v>4</v>
      </c>
      <c r="G60" t="s">
        <v>33</v>
      </c>
      <c r="N60" t="s">
        <v>34</v>
      </c>
    </row>
    <row r="61" spans="1:15" ht="17.25" customHeight="1">
      <c r="A61" s="1" t="s">
        <v>122</v>
      </c>
      <c r="B61" s="1" t="s">
        <v>124</v>
      </c>
      <c r="C61">
        <v>3</v>
      </c>
      <c r="D61">
        <v>4</v>
      </c>
      <c r="E61">
        <v>4</v>
      </c>
      <c r="F61">
        <v>4</v>
      </c>
      <c r="G61" t="s">
        <v>29</v>
      </c>
      <c r="N61" t="s">
        <v>30</v>
      </c>
      <c r="O61" t="s">
        <v>81</v>
      </c>
    </row>
    <row r="62" spans="1:15" ht="17.25" customHeight="1">
      <c r="A62" s="1" t="s">
        <v>125</v>
      </c>
      <c r="B62" s="1" t="s">
        <v>126</v>
      </c>
      <c r="C62">
        <v>3</v>
      </c>
      <c r="D62">
        <v>4</v>
      </c>
      <c r="E62">
        <v>4</v>
      </c>
      <c r="F62">
        <v>4</v>
      </c>
      <c r="G62" t="s">
        <v>33</v>
      </c>
      <c r="N62" t="s">
        <v>34</v>
      </c>
    </row>
    <row r="63" spans="1:15" ht="17.25" customHeight="1">
      <c r="A63" s="1" t="s">
        <v>125</v>
      </c>
      <c r="B63" s="1" t="s">
        <v>127</v>
      </c>
      <c r="C63">
        <v>5</v>
      </c>
      <c r="D63">
        <v>5</v>
      </c>
      <c r="E63">
        <v>5</v>
      </c>
      <c r="F63">
        <v>5</v>
      </c>
      <c r="G63" t="s">
        <v>29</v>
      </c>
      <c r="N63" t="s">
        <v>30</v>
      </c>
      <c r="O63" t="s">
        <v>43</v>
      </c>
    </row>
    <row r="64" spans="1:15" ht="18.75" customHeight="1">
      <c r="A64" s="1" t="s">
        <v>128</v>
      </c>
      <c r="B64" s="1" t="s">
        <v>129</v>
      </c>
      <c r="C64">
        <v>4</v>
      </c>
      <c r="D64">
        <v>5</v>
      </c>
      <c r="E64">
        <v>5</v>
      </c>
      <c r="F64">
        <v>4</v>
      </c>
      <c r="G64" t="s">
        <v>33</v>
      </c>
      <c r="N64" t="s">
        <v>34</v>
      </c>
    </row>
    <row r="65" spans="1:15" ht="18" customHeight="1">
      <c r="A65" s="1" t="s">
        <v>128</v>
      </c>
      <c r="B65" s="1" t="s">
        <v>130</v>
      </c>
      <c r="C65">
        <v>4</v>
      </c>
      <c r="D65">
        <v>5</v>
      </c>
      <c r="E65">
        <v>5</v>
      </c>
      <c r="F65">
        <v>4</v>
      </c>
      <c r="G65" t="s">
        <v>29</v>
      </c>
      <c r="N65" t="s">
        <v>30</v>
      </c>
      <c r="O65" t="s">
        <v>48</v>
      </c>
    </row>
    <row r="66" spans="1:15" ht="18" customHeight="1">
      <c r="A66" s="1" t="s">
        <v>131</v>
      </c>
      <c r="B66" s="1" t="s">
        <v>132</v>
      </c>
      <c r="C66">
        <v>4</v>
      </c>
      <c r="D66">
        <v>5</v>
      </c>
      <c r="E66">
        <v>4</v>
      </c>
      <c r="F66">
        <v>4</v>
      </c>
      <c r="G66" t="s">
        <v>29</v>
      </c>
      <c r="N66" t="s">
        <v>34</v>
      </c>
    </row>
    <row r="67" spans="1:15" ht="18" customHeight="1">
      <c r="A67" s="1" t="s">
        <v>131</v>
      </c>
      <c r="B67" s="1" t="s">
        <v>133</v>
      </c>
      <c r="C67">
        <v>3</v>
      </c>
      <c r="D67">
        <v>4</v>
      </c>
      <c r="E67">
        <v>4</v>
      </c>
      <c r="F67">
        <v>3</v>
      </c>
      <c r="G67" t="s">
        <v>33</v>
      </c>
      <c r="N67" t="s">
        <v>30</v>
      </c>
      <c r="O67" t="s">
        <v>31</v>
      </c>
    </row>
    <row r="68" spans="1:15" ht="18.75" customHeight="1">
      <c r="A68" s="1" t="s">
        <v>134</v>
      </c>
      <c r="B68" s="1" t="s">
        <v>135</v>
      </c>
      <c r="C68">
        <v>4</v>
      </c>
      <c r="D68">
        <v>5</v>
      </c>
      <c r="E68">
        <v>5</v>
      </c>
      <c r="F68">
        <v>4</v>
      </c>
      <c r="G68" t="s">
        <v>29</v>
      </c>
      <c r="N68" t="s">
        <v>30</v>
      </c>
      <c r="O68" t="s">
        <v>48</v>
      </c>
    </row>
    <row r="69" spans="1:15" ht="17.25" customHeight="1">
      <c r="A69" s="1" t="s">
        <v>134</v>
      </c>
      <c r="B69" s="1" t="s">
        <v>136</v>
      </c>
      <c r="C69">
        <v>4</v>
      </c>
      <c r="D69">
        <v>5</v>
      </c>
      <c r="E69">
        <v>5</v>
      </c>
      <c r="F69">
        <v>5</v>
      </c>
      <c r="G69" t="s">
        <v>33</v>
      </c>
      <c r="N69" t="s">
        <v>34</v>
      </c>
    </row>
    <row r="70" spans="1:15" ht="305.25">
      <c r="A70" s="1" t="s">
        <v>137</v>
      </c>
      <c r="B70" s="1" t="s">
        <v>138</v>
      </c>
      <c r="C70">
        <v>3</v>
      </c>
      <c r="D70">
        <v>5</v>
      </c>
      <c r="E70">
        <v>5</v>
      </c>
      <c r="F70">
        <v>3</v>
      </c>
      <c r="G70" t="s">
        <v>33</v>
      </c>
      <c r="N70" t="s">
        <v>30</v>
      </c>
      <c r="O70" t="s">
        <v>31</v>
      </c>
    </row>
    <row r="71" spans="1:15" ht="16.5" customHeight="1">
      <c r="A71" s="1" t="s">
        <v>137</v>
      </c>
      <c r="B71" s="1" t="s">
        <v>139</v>
      </c>
      <c r="C71">
        <v>4</v>
      </c>
      <c r="D71">
        <v>4</v>
      </c>
      <c r="E71">
        <v>4</v>
      </c>
      <c r="F71">
        <v>4</v>
      </c>
      <c r="G71" t="s">
        <v>29</v>
      </c>
      <c r="N71" t="s">
        <v>34</v>
      </c>
    </row>
    <row r="72" spans="1:15" ht="18" customHeight="1">
      <c r="A72" s="1" t="s">
        <v>140</v>
      </c>
      <c r="B72" s="1" t="s">
        <v>141</v>
      </c>
      <c r="C72">
        <v>1</v>
      </c>
      <c r="D72">
        <v>3</v>
      </c>
      <c r="E72">
        <v>3</v>
      </c>
      <c r="F72">
        <v>2</v>
      </c>
      <c r="G72" t="s">
        <v>29</v>
      </c>
      <c r="N72" t="s">
        <v>30</v>
      </c>
      <c r="O72" t="s">
        <v>31</v>
      </c>
    </row>
    <row r="73" spans="1:15" ht="18" customHeight="1">
      <c r="A73" s="1" t="s">
        <v>140</v>
      </c>
      <c r="B73" s="1" t="s">
        <v>142</v>
      </c>
      <c r="C73">
        <v>3</v>
      </c>
      <c r="D73">
        <v>4</v>
      </c>
      <c r="E73">
        <v>5</v>
      </c>
      <c r="F73">
        <v>4</v>
      </c>
      <c r="G73" t="s">
        <v>33</v>
      </c>
      <c r="N73" t="s">
        <v>34</v>
      </c>
    </row>
    <row r="74" spans="1:15" ht="18.75" customHeight="1">
      <c r="A74" s="1" t="s">
        <v>143</v>
      </c>
      <c r="B74" s="1" t="s">
        <v>144</v>
      </c>
      <c r="C74">
        <v>5</v>
      </c>
      <c r="D74">
        <v>5</v>
      </c>
      <c r="E74">
        <v>4</v>
      </c>
      <c r="F74">
        <v>4</v>
      </c>
      <c r="G74" t="s">
        <v>33</v>
      </c>
      <c r="N74" t="s">
        <v>34</v>
      </c>
    </row>
    <row r="75" spans="1:15" ht="21" customHeight="1">
      <c r="A75" s="1" t="s">
        <v>143</v>
      </c>
      <c r="B75" s="1" t="s">
        <v>145</v>
      </c>
      <c r="C75">
        <v>3</v>
      </c>
      <c r="D75">
        <v>1</v>
      </c>
      <c r="E75">
        <v>4</v>
      </c>
      <c r="F75">
        <v>2</v>
      </c>
      <c r="G75" t="s">
        <v>29</v>
      </c>
      <c r="N75" t="s">
        <v>30</v>
      </c>
      <c r="O75" t="s">
        <v>31</v>
      </c>
    </row>
    <row r="76" spans="1:15" ht="17.25" customHeight="1">
      <c r="A76" s="1" t="s">
        <v>146</v>
      </c>
      <c r="B76" s="1" t="s">
        <v>147</v>
      </c>
      <c r="C76">
        <v>1</v>
      </c>
      <c r="D76">
        <v>3</v>
      </c>
      <c r="E76">
        <v>3</v>
      </c>
      <c r="F76">
        <v>3</v>
      </c>
      <c r="G76" t="s">
        <v>33</v>
      </c>
      <c r="N76" t="s">
        <v>34</v>
      </c>
    </row>
    <row r="77" spans="1:15" ht="16.5" customHeight="1">
      <c r="A77" s="1" t="s">
        <v>146</v>
      </c>
      <c r="B77" s="1" t="s">
        <v>148</v>
      </c>
      <c r="C77">
        <v>5</v>
      </c>
      <c r="D77">
        <v>5</v>
      </c>
      <c r="E77">
        <v>5</v>
      </c>
      <c r="F77">
        <v>4</v>
      </c>
      <c r="G77" t="s">
        <v>29</v>
      </c>
      <c r="N77" t="s">
        <v>30</v>
      </c>
      <c r="O77" t="s">
        <v>48</v>
      </c>
    </row>
    <row r="78" spans="1:15" ht="19.5" customHeight="1">
      <c r="A78" s="1" t="s">
        <v>149</v>
      </c>
      <c r="B78" s="1" t="s">
        <v>150</v>
      </c>
      <c r="C78">
        <v>5</v>
      </c>
      <c r="D78">
        <v>5</v>
      </c>
      <c r="E78">
        <v>5</v>
      </c>
      <c r="F78">
        <v>4</v>
      </c>
      <c r="G78" t="s">
        <v>29</v>
      </c>
      <c r="N78" t="s">
        <v>30</v>
      </c>
      <c r="O78" t="s">
        <v>43</v>
      </c>
    </row>
    <row r="79" spans="1:15" ht="16.5" customHeight="1">
      <c r="A79" s="1" t="s">
        <v>149</v>
      </c>
      <c r="B79" s="1" t="s">
        <v>151</v>
      </c>
      <c r="C79">
        <v>2</v>
      </c>
      <c r="D79">
        <v>4</v>
      </c>
      <c r="E79">
        <v>3</v>
      </c>
      <c r="F79">
        <v>1</v>
      </c>
      <c r="G79" t="s">
        <v>33</v>
      </c>
      <c r="N79" t="s">
        <v>34</v>
      </c>
    </row>
    <row r="80" spans="1:15" ht="18" customHeight="1">
      <c r="A80" s="1" t="s">
        <v>152</v>
      </c>
      <c r="B80" s="1" t="s">
        <v>153</v>
      </c>
      <c r="C80">
        <v>5</v>
      </c>
      <c r="D80">
        <v>5</v>
      </c>
      <c r="E80">
        <v>5</v>
      </c>
      <c r="F80">
        <v>4</v>
      </c>
      <c r="G80" t="s">
        <v>29</v>
      </c>
      <c r="N80" t="s">
        <v>30</v>
      </c>
      <c r="O80" t="s">
        <v>48</v>
      </c>
    </row>
    <row r="81" spans="1:15" ht="16.5" customHeight="1">
      <c r="A81" s="1" t="s">
        <v>152</v>
      </c>
      <c r="B81" s="1" t="s">
        <v>154</v>
      </c>
      <c r="C81">
        <v>3</v>
      </c>
      <c r="D81">
        <v>5</v>
      </c>
      <c r="E81">
        <v>5</v>
      </c>
      <c r="F81">
        <v>5</v>
      </c>
      <c r="G81" t="s">
        <v>33</v>
      </c>
      <c r="N81" t="s">
        <v>34</v>
      </c>
    </row>
    <row r="82" spans="1:15" ht="18.75" customHeight="1">
      <c r="A82" s="1" t="s">
        <v>155</v>
      </c>
      <c r="B82" s="1" t="s">
        <v>156</v>
      </c>
      <c r="C82">
        <v>5</v>
      </c>
      <c r="D82">
        <v>5</v>
      </c>
      <c r="E82">
        <v>5</v>
      </c>
      <c r="F82">
        <v>5</v>
      </c>
      <c r="G82" t="s">
        <v>29</v>
      </c>
      <c r="N82" t="s">
        <v>30</v>
      </c>
      <c r="O82" t="s">
        <v>43</v>
      </c>
    </row>
    <row r="83" spans="1:15" ht="18" customHeight="1">
      <c r="A83" s="1" t="s">
        <v>155</v>
      </c>
      <c r="B83" s="1" t="s">
        <v>157</v>
      </c>
      <c r="C83">
        <v>4</v>
      </c>
      <c r="D83">
        <v>4</v>
      </c>
      <c r="E83">
        <v>4</v>
      </c>
      <c r="F83">
        <v>4</v>
      </c>
      <c r="G83" t="s">
        <v>33</v>
      </c>
      <c r="N83" t="s">
        <v>34</v>
      </c>
    </row>
    <row r="84" spans="1:15" ht="19.5" customHeight="1">
      <c r="A84" s="1" t="s">
        <v>158</v>
      </c>
      <c r="B84" s="1" t="s">
        <v>159</v>
      </c>
      <c r="C84">
        <v>5</v>
      </c>
      <c r="D84">
        <v>5</v>
      </c>
      <c r="E84">
        <v>5</v>
      </c>
      <c r="F84">
        <v>4</v>
      </c>
      <c r="G84" t="s">
        <v>29</v>
      </c>
      <c r="N84" t="s">
        <v>30</v>
      </c>
      <c r="O84" t="s">
        <v>48</v>
      </c>
    </row>
    <row r="85" spans="1:15" ht="18" customHeight="1">
      <c r="A85" s="1" t="s">
        <v>158</v>
      </c>
      <c r="B85" s="1" t="s">
        <v>160</v>
      </c>
      <c r="C85">
        <v>4</v>
      </c>
      <c r="D85">
        <v>5</v>
      </c>
      <c r="E85">
        <v>5</v>
      </c>
      <c r="F85">
        <v>4</v>
      </c>
      <c r="G85" t="s">
        <v>33</v>
      </c>
      <c r="N85" t="s">
        <v>34</v>
      </c>
    </row>
    <row r="86" spans="1:15" ht="18" customHeight="1">
      <c r="A86" s="1" t="s">
        <v>161</v>
      </c>
      <c r="B86" s="1" t="s">
        <v>162</v>
      </c>
      <c r="C86">
        <v>2</v>
      </c>
      <c r="D86">
        <v>4</v>
      </c>
      <c r="E86">
        <v>3</v>
      </c>
      <c r="F86">
        <v>2</v>
      </c>
      <c r="G86" t="s">
        <v>33</v>
      </c>
      <c r="N86" t="s">
        <v>34</v>
      </c>
    </row>
    <row r="87" spans="1:15" ht="19.5" customHeight="1">
      <c r="A87" s="1" t="s">
        <v>161</v>
      </c>
      <c r="B87" s="1" t="s">
        <v>163</v>
      </c>
      <c r="C87">
        <v>3</v>
      </c>
      <c r="D87">
        <v>5</v>
      </c>
      <c r="E87">
        <v>5</v>
      </c>
      <c r="F87">
        <v>3</v>
      </c>
      <c r="G87" t="s">
        <v>29</v>
      </c>
      <c r="N87" t="s">
        <v>30</v>
      </c>
      <c r="O87" t="s">
        <v>81</v>
      </c>
    </row>
    <row r="88" spans="1:15" ht="17.25" customHeight="1">
      <c r="A88" s="1" t="s">
        <v>164</v>
      </c>
      <c r="B88" s="1" t="s">
        <v>165</v>
      </c>
      <c r="C88">
        <v>1</v>
      </c>
      <c r="D88">
        <v>5</v>
      </c>
      <c r="E88">
        <v>5</v>
      </c>
      <c r="F88">
        <v>3</v>
      </c>
      <c r="G88" t="s">
        <v>29</v>
      </c>
      <c r="N88" t="s">
        <v>30</v>
      </c>
      <c r="O88" t="s">
        <v>81</v>
      </c>
    </row>
    <row r="89" spans="1:15" ht="19.5" customHeight="1">
      <c r="A89" s="1" t="s">
        <v>164</v>
      </c>
      <c r="B89" s="1" t="s">
        <v>166</v>
      </c>
      <c r="C89">
        <v>4</v>
      </c>
      <c r="D89">
        <v>5</v>
      </c>
      <c r="E89">
        <v>5</v>
      </c>
      <c r="F89">
        <v>4</v>
      </c>
      <c r="G89" t="s">
        <v>33</v>
      </c>
      <c r="N89" t="s">
        <v>34</v>
      </c>
    </row>
    <row r="90" spans="1:15" ht="17.25" customHeight="1">
      <c r="A90" s="1" t="s">
        <v>167</v>
      </c>
      <c r="B90" s="1" t="s">
        <v>168</v>
      </c>
      <c r="C90">
        <v>4</v>
      </c>
      <c r="D90">
        <v>5</v>
      </c>
      <c r="E90">
        <v>5</v>
      </c>
      <c r="F90">
        <v>4</v>
      </c>
      <c r="G90" t="s">
        <v>33</v>
      </c>
      <c r="N90" t="s">
        <v>34</v>
      </c>
    </row>
    <row r="91" spans="1:15" ht="15.75" customHeight="1">
      <c r="A91" s="1" t="s">
        <v>167</v>
      </c>
      <c r="B91" s="1" t="s">
        <v>169</v>
      </c>
      <c r="C91">
        <v>3</v>
      </c>
      <c r="D91">
        <v>3</v>
      </c>
      <c r="E91">
        <v>5</v>
      </c>
      <c r="F91">
        <v>3</v>
      </c>
      <c r="G91" t="s">
        <v>29</v>
      </c>
      <c r="N91" t="s">
        <v>30</v>
      </c>
      <c r="O91" t="s">
        <v>31</v>
      </c>
    </row>
    <row r="92" spans="1:15" ht="18.75" customHeight="1">
      <c r="A92" s="1" t="s">
        <v>170</v>
      </c>
      <c r="B92" s="1" t="s">
        <v>171</v>
      </c>
      <c r="C92">
        <v>3</v>
      </c>
      <c r="D92">
        <v>4</v>
      </c>
      <c r="E92">
        <v>2</v>
      </c>
      <c r="F92">
        <v>3</v>
      </c>
      <c r="G92" t="s">
        <v>29</v>
      </c>
      <c r="N92" t="s">
        <v>30</v>
      </c>
      <c r="O92" t="s">
        <v>31</v>
      </c>
    </row>
    <row r="93" spans="1:15" ht="18.75" customHeight="1">
      <c r="A93" s="1" t="s">
        <v>170</v>
      </c>
      <c r="B93" s="1" t="s">
        <v>172</v>
      </c>
      <c r="C93">
        <v>4</v>
      </c>
      <c r="D93">
        <v>4</v>
      </c>
      <c r="E93">
        <v>4</v>
      </c>
      <c r="F93">
        <v>3</v>
      </c>
      <c r="G93" t="s">
        <v>33</v>
      </c>
      <c r="N93" t="s">
        <v>34</v>
      </c>
    </row>
    <row r="94" spans="1:15" ht="20.25" customHeight="1">
      <c r="A94" s="1" t="s">
        <v>173</v>
      </c>
      <c r="B94" s="1" t="s">
        <v>174</v>
      </c>
      <c r="C94">
        <v>4</v>
      </c>
      <c r="D94">
        <v>4</v>
      </c>
      <c r="E94">
        <v>5</v>
      </c>
      <c r="F94">
        <v>3</v>
      </c>
      <c r="G94" t="s">
        <v>33</v>
      </c>
      <c r="N94" t="s">
        <v>34</v>
      </c>
    </row>
    <row r="95" spans="1:15" ht="16.5" customHeight="1">
      <c r="A95" s="1" t="s">
        <v>173</v>
      </c>
      <c r="B95" s="1" t="s">
        <v>175</v>
      </c>
      <c r="C95">
        <v>4</v>
      </c>
      <c r="D95">
        <v>5</v>
      </c>
      <c r="E95">
        <v>4</v>
      </c>
      <c r="F95">
        <v>4</v>
      </c>
      <c r="G95" t="s">
        <v>29</v>
      </c>
      <c r="N95" t="s">
        <v>30</v>
      </c>
      <c r="O95" t="s">
        <v>81</v>
      </c>
    </row>
    <row r="96" spans="1:15" ht="17.25" customHeight="1">
      <c r="A96" s="1" t="s">
        <v>176</v>
      </c>
      <c r="B96" s="1" t="s">
        <v>177</v>
      </c>
      <c r="C96">
        <v>4</v>
      </c>
      <c r="D96">
        <v>5</v>
      </c>
      <c r="E96">
        <v>5</v>
      </c>
      <c r="F96">
        <v>4</v>
      </c>
      <c r="G96" t="s">
        <v>33</v>
      </c>
      <c r="N96" t="s">
        <v>34</v>
      </c>
    </row>
    <row r="97" spans="1:15" ht="18" customHeight="1">
      <c r="A97" s="1" t="s">
        <v>176</v>
      </c>
      <c r="B97" s="1" t="s">
        <v>178</v>
      </c>
      <c r="C97">
        <v>2</v>
      </c>
      <c r="D97">
        <v>3</v>
      </c>
      <c r="E97">
        <v>4</v>
      </c>
      <c r="F97">
        <v>2</v>
      </c>
      <c r="G97" t="s">
        <v>29</v>
      </c>
      <c r="N97" t="s">
        <v>30</v>
      </c>
      <c r="O97" t="s">
        <v>81</v>
      </c>
    </row>
    <row r="98" spans="1:15" ht="16.5" customHeight="1">
      <c r="A98" s="1" t="s">
        <v>179</v>
      </c>
      <c r="B98" s="1" t="s">
        <v>180</v>
      </c>
      <c r="C98">
        <v>1</v>
      </c>
      <c r="D98">
        <v>4</v>
      </c>
      <c r="E98">
        <v>4</v>
      </c>
      <c r="F98">
        <v>2</v>
      </c>
      <c r="G98" t="s">
        <v>29</v>
      </c>
      <c r="N98" t="s">
        <v>30</v>
      </c>
      <c r="O98" t="s">
        <v>81</v>
      </c>
    </row>
    <row r="99" spans="1:15" ht="16.5" customHeight="1">
      <c r="A99" s="1" t="s">
        <v>179</v>
      </c>
      <c r="B99" s="1" t="s">
        <v>181</v>
      </c>
      <c r="C99">
        <v>4</v>
      </c>
      <c r="D99">
        <v>4</v>
      </c>
      <c r="E99">
        <v>5</v>
      </c>
      <c r="F99">
        <v>4</v>
      </c>
      <c r="G99" t="s">
        <v>33</v>
      </c>
      <c r="N99" t="s">
        <v>34</v>
      </c>
    </row>
    <row r="100" spans="1:15" ht="18.75" customHeight="1">
      <c r="A100" s="1" t="s">
        <v>182</v>
      </c>
      <c r="B100" s="1" t="s">
        <v>183</v>
      </c>
      <c r="C100">
        <v>4</v>
      </c>
      <c r="D100">
        <v>5</v>
      </c>
      <c r="E100">
        <v>5</v>
      </c>
      <c r="F100">
        <v>4</v>
      </c>
      <c r="G100" t="s">
        <v>29</v>
      </c>
      <c r="N100" t="s">
        <v>30</v>
      </c>
      <c r="O100" t="s">
        <v>31</v>
      </c>
    </row>
    <row r="101" spans="1:15" ht="15.75" customHeight="1">
      <c r="A101" s="1" t="s">
        <v>182</v>
      </c>
      <c r="B101" s="1" t="s">
        <v>184</v>
      </c>
      <c r="C101">
        <v>4</v>
      </c>
      <c r="D101">
        <v>4</v>
      </c>
      <c r="E101">
        <v>4</v>
      </c>
      <c r="F101">
        <v>4</v>
      </c>
      <c r="G101" t="s">
        <v>33</v>
      </c>
      <c r="N101" t="s">
        <v>34</v>
      </c>
    </row>
    <row r="102" spans="1:15" ht="15.75" customHeight="1">
      <c r="A102" s="1" t="s">
        <v>185</v>
      </c>
      <c r="B102" s="1" t="s">
        <v>186</v>
      </c>
      <c r="C102">
        <v>4</v>
      </c>
      <c r="D102">
        <v>5</v>
      </c>
      <c r="E102">
        <v>5</v>
      </c>
      <c r="F102">
        <v>4</v>
      </c>
      <c r="G102" t="s">
        <v>33</v>
      </c>
      <c r="N102" t="s">
        <v>34</v>
      </c>
    </row>
    <row r="103" spans="1:15" ht="15" customHeight="1">
      <c r="A103" s="1" t="s">
        <v>185</v>
      </c>
      <c r="B103" s="1" t="s">
        <v>187</v>
      </c>
      <c r="C103">
        <v>5</v>
      </c>
      <c r="D103">
        <v>5</v>
      </c>
      <c r="E103">
        <v>5</v>
      </c>
      <c r="F103">
        <v>5</v>
      </c>
      <c r="G103" t="s">
        <v>29</v>
      </c>
      <c r="N103" t="s">
        <v>30</v>
      </c>
      <c r="O103" t="s">
        <v>43</v>
      </c>
    </row>
    <row r="104" spans="1:15" ht="16.5" customHeight="1">
      <c r="A104" s="1" t="s">
        <v>188</v>
      </c>
      <c r="B104" s="1" t="s">
        <v>189</v>
      </c>
      <c r="C104">
        <v>5</v>
      </c>
      <c r="D104">
        <v>5</v>
      </c>
      <c r="E104">
        <v>5</v>
      </c>
      <c r="F104">
        <v>5</v>
      </c>
      <c r="G104" t="s">
        <v>29</v>
      </c>
      <c r="N104" t="s">
        <v>30</v>
      </c>
      <c r="O104" t="s">
        <v>43</v>
      </c>
    </row>
    <row r="105" spans="1:15" ht="17.25" customHeight="1">
      <c r="A105" s="1" t="s">
        <v>188</v>
      </c>
      <c r="B105" s="1" t="s">
        <v>190</v>
      </c>
      <c r="C105">
        <v>5</v>
      </c>
      <c r="D105">
        <v>5</v>
      </c>
      <c r="E105">
        <v>5</v>
      </c>
      <c r="F105">
        <v>4</v>
      </c>
      <c r="G105" t="s">
        <v>33</v>
      </c>
      <c r="N105" t="s">
        <v>34</v>
      </c>
    </row>
    <row r="106" spans="1:15" ht="18" customHeight="1">
      <c r="A106" s="1" t="s">
        <v>191</v>
      </c>
      <c r="B106" s="1" t="s">
        <v>192</v>
      </c>
      <c r="C106">
        <v>5</v>
      </c>
      <c r="D106">
        <v>5</v>
      </c>
      <c r="E106">
        <v>5</v>
      </c>
      <c r="F106">
        <v>4</v>
      </c>
      <c r="G106" t="s">
        <v>29</v>
      </c>
      <c r="N106" t="s">
        <v>30</v>
      </c>
      <c r="O106" t="s">
        <v>48</v>
      </c>
    </row>
    <row r="107" spans="1:15" ht="15.75" customHeight="1">
      <c r="A107" s="1" t="s">
        <v>191</v>
      </c>
      <c r="B107" s="1" t="s">
        <v>193</v>
      </c>
      <c r="C107">
        <v>4</v>
      </c>
      <c r="D107">
        <v>5</v>
      </c>
      <c r="E107">
        <v>5</v>
      </c>
      <c r="F107">
        <v>4</v>
      </c>
      <c r="G107" t="s">
        <v>33</v>
      </c>
      <c r="N107" t="s">
        <v>34</v>
      </c>
    </row>
    <row r="108" spans="1:15" ht="17.25" customHeight="1">
      <c r="A108" s="1" t="s">
        <v>194</v>
      </c>
      <c r="B108" s="1" t="s">
        <v>195</v>
      </c>
      <c r="C108">
        <v>5</v>
      </c>
      <c r="D108">
        <v>5</v>
      </c>
      <c r="E108">
        <v>5</v>
      </c>
      <c r="F108">
        <v>5</v>
      </c>
      <c r="G108" t="s">
        <v>29</v>
      </c>
      <c r="N108" t="s">
        <v>30</v>
      </c>
      <c r="O108" t="s">
        <v>48</v>
      </c>
    </row>
    <row r="109" spans="1:15" ht="15.75" customHeight="1">
      <c r="A109" s="1" t="s">
        <v>194</v>
      </c>
      <c r="B109" s="1" t="s">
        <v>196</v>
      </c>
      <c r="C109">
        <v>4</v>
      </c>
      <c r="D109">
        <v>5</v>
      </c>
      <c r="E109">
        <v>5</v>
      </c>
      <c r="F109">
        <v>4</v>
      </c>
      <c r="G109" t="s">
        <v>33</v>
      </c>
      <c r="N109" t="s">
        <v>34</v>
      </c>
    </row>
    <row r="110" spans="1:15" ht="18.75" customHeight="1">
      <c r="A110" s="1" t="s">
        <v>197</v>
      </c>
      <c r="B110" s="1" t="s">
        <v>198</v>
      </c>
      <c r="C110">
        <v>5</v>
      </c>
      <c r="D110">
        <v>4</v>
      </c>
      <c r="E110">
        <v>5</v>
      </c>
      <c r="F110">
        <v>3</v>
      </c>
      <c r="G110" t="s">
        <v>29</v>
      </c>
      <c r="N110" t="s">
        <v>30</v>
      </c>
      <c r="O110" t="s">
        <v>48</v>
      </c>
    </row>
    <row r="111" spans="1:15" ht="18.75" customHeight="1">
      <c r="A111" s="1" t="s">
        <v>197</v>
      </c>
      <c r="B111" s="1" t="s">
        <v>199</v>
      </c>
      <c r="C111">
        <v>3</v>
      </c>
      <c r="D111">
        <v>4</v>
      </c>
      <c r="E111">
        <v>5</v>
      </c>
      <c r="F111">
        <v>4</v>
      </c>
      <c r="G111" t="s">
        <v>33</v>
      </c>
      <c r="N111" t="s">
        <v>34</v>
      </c>
    </row>
    <row r="112" spans="1:15" ht="18" customHeight="1">
      <c r="A112" s="1" t="s">
        <v>200</v>
      </c>
      <c r="B112" s="1" t="s">
        <v>201</v>
      </c>
      <c r="C112">
        <v>3</v>
      </c>
      <c r="D112">
        <v>5</v>
      </c>
      <c r="E112">
        <v>5</v>
      </c>
      <c r="F112">
        <v>4</v>
      </c>
      <c r="G112" t="s">
        <v>33</v>
      </c>
      <c r="N112" t="s">
        <v>30</v>
      </c>
      <c r="O112" t="s">
        <v>81</v>
      </c>
    </row>
    <row r="113" spans="1:15" ht="18" customHeight="1">
      <c r="A113" s="1" t="s">
        <v>200</v>
      </c>
      <c r="B113" s="1" t="s">
        <v>202</v>
      </c>
      <c r="C113">
        <v>2</v>
      </c>
      <c r="D113">
        <v>3</v>
      </c>
      <c r="E113">
        <v>4</v>
      </c>
      <c r="F113">
        <v>3</v>
      </c>
      <c r="G113" t="s">
        <v>29</v>
      </c>
      <c r="N113" t="s">
        <v>34</v>
      </c>
    </row>
    <row r="114" spans="1:15" ht="32.25" customHeight="1">
      <c r="A114" s="1" t="s">
        <v>203</v>
      </c>
      <c r="B114" s="1" t="s">
        <v>204</v>
      </c>
      <c r="C114">
        <v>5</v>
      </c>
      <c r="D114">
        <v>5</v>
      </c>
      <c r="E114">
        <v>5</v>
      </c>
      <c r="F114">
        <v>5</v>
      </c>
      <c r="G114" t="s">
        <v>29</v>
      </c>
      <c r="N114" t="s">
        <v>30</v>
      </c>
      <c r="O114" t="s">
        <v>43</v>
      </c>
    </row>
    <row r="115" spans="1:15" ht="15.75" customHeight="1">
      <c r="A115" s="1" t="s">
        <v>203</v>
      </c>
      <c r="B115" s="1" t="s">
        <v>205</v>
      </c>
      <c r="C115">
        <v>4</v>
      </c>
      <c r="D115">
        <v>4</v>
      </c>
      <c r="E115">
        <v>5</v>
      </c>
      <c r="F115">
        <v>4</v>
      </c>
      <c r="G115" t="s">
        <v>33</v>
      </c>
      <c r="N115" t="s">
        <v>34</v>
      </c>
    </row>
    <row r="116" spans="1:15" ht="16.5" customHeight="1">
      <c r="A116" s="1" t="s">
        <v>206</v>
      </c>
      <c r="B116" s="1" t="s">
        <v>207</v>
      </c>
      <c r="C116">
        <v>4</v>
      </c>
      <c r="D116">
        <v>5</v>
      </c>
      <c r="E116">
        <v>4</v>
      </c>
      <c r="F116">
        <v>3</v>
      </c>
      <c r="G116" t="s">
        <v>33</v>
      </c>
      <c r="N116" t="s">
        <v>34</v>
      </c>
    </row>
    <row r="117" spans="1:15" ht="17.25" customHeight="1">
      <c r="A117" s="1" t="s">
        <v>206</v>
      </c>
      <c r="B117" s="1" t="s">
        <v>208</v>
      </c>
      <c r="C117">
        <v>3</v>
      </c>
      <c r="D117">
        <v>4</v>
      </c>
      <c r="E117">
        <v>4</v>
      </c>
      <c r="F117">
        <v>4</v>
      </c>
      <c r="G117" t="s">
        <v>29</v>
      </c>
      <c r="N117" t="s">
        <v>30</v>
      </c>
      <c r="O117" t="s">
        <v>81</v>
      </c>
    </row>
    <row r="118" spans="1:15" ht="20.25" customHeight="1">
      <c r="A118" s="1" t="s">
        <v>209</v>
      </c>
      <c r="B118" s="1" t="s">
        <v>210</v>
      </c>
      <c r="C118">
        <v>5</v>
      </c>
      <c r="D118">
        <v>5</v>
      </c>
      <c r="E118">
        <v>4</v>
      </c>
      <c r="F118">
        <v>4</v>
      </c>
      <c r="G118" t="s">
        <v>33</v>
      </c>
      <c r="N118" t="s">
        <v>34</v>
      </c>
    </row>
    <row r="119" spans="1:15" ht="16.5" customHeight="1">
      <c r="A119" s="1" t="s">
        <v>209</v>
      </c>
      <c r="B119" s="1" t="s">
        <v>211</v>
      </c>
      <c r="C119">
        <v>5</v>
      </c>
      <c r="D119">
        <v>5</v>
      </c>
      <c r="E119">
        <v>5</v>
      </c>
      <c r="F119">
        <v>4</v>
      </c>
      <c r="G119" t="s">
        <v>29</v>
      </c>
      <c r="N119" t="s">
        <v>30</v>
      </c>
      <c r="O119" t="s">
        <v>43</v>
      </c>
    </row>
    <row r="120" spans="1:15" ht="18" customHeight="1">
      <c r="A120" s="1" t="s">
        <v>212</v>
      </c>
      <c r="B120" s="1" t="s">
        <v>213</v>
      </c>
      <c r="C120">
        <v>4</v>
      </c>
      <c r="D120">
        <v>4</v>
      </c>
      <c r="E120">
        <v>5</v>
      </c>
      <c r="F120">
        <v>4</v>
      </c>
      <c r="G120" t="s">
        <v>33</v>
      </c>
      <c r="N120" t="s">
        <v>34</v>
      </c>
    </row>
    <row r="121" spans="1:15" ht="18.75" customHeight="1">
      <c r="A121" s="1" t="s">
        <v>212</v>
      </c>
      <c r="B121" s="1" t="s">
        <v>214</v>
      </c>
      <c r="C121">
        <v>5</v>
      </c>
      <c r="D121">
        <v>5</v>
      </c>
      <c r="E121">
        <v>5</v>
      </c>
      <c r="F121">
        <v>5</v>
      </c>
      <c r="G121" t="s">
        <v>29</v>
      </c>
      <c r="N121" t="s">
        <v>30</v>
      </c>
      <c r="O121" t="s">
        <v>43</v>
      </c>
    </row>
  </sheetData>
  <autoFilter ref="A1:Q12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21"/>
  <sheetViews>
    <sheetView tabSelected="1" topLeftCell="E1" workbookViewId="0">
      <selection activeCell="O3" sqref="O3"/>
    </sheetView>
  </sheetViews>
  <sheetFormatPr defaultRowHeight="15"/>
  <cols>
    <col min="1" max="1" width="13.140625" customWidth="1"/>
    <col min="2" max="2" width="188.28515625" customWidth="1"/>
    <col min="3" max="3" width="7.7109375" bestFit="1" customWidth="1"/>
    <col min="6" max="6" width="13.28515625" bestFit="1" customWidth="1"/>
    <col min="8" max="8" width="17" bestFit="1" customWidth="1"/>
    <col min="9" max="9" width="15.42578125" bestFit="1" customWidth="1"/>
    <col min="10" max="11" width="17" bestFit="1" customWidth="1"/>
    <col min="12" max="12" width="15.140625" bestFit="1" customWidth="1"/>
    <col min="13" max="13" width="17.85546875" bestFit="1" customWidth="1"/>
    <col min="14" max="14" width="12.5703125" bestFit="1" customWidth="1"/>
    <col min="15" max="15" width="15.85546875" bestFit="1" customWidth="1"/>
    <col min="16" max="16" width="23.85546875" bestFit="1" customWidth="1"/>
    <col min="17" max="17" width="23.7109375" bestFit="1" customWidth="1"/>
    <col min="18" max="18" width="26.42578125" bestFit="1" customWidth="1"/>
    <col min="19" max="19" width="17.85546875" bestFit="1" customWidth="1"/>
    <col min="20" max="20" width="17.7109375" bestFit="1" customWidth="1"/>
    <col min="21" max="21" width="20.5703125" bestFit="1" customWidth="1"/>
    <col min="22" max="22" width="22.7109375" bestFit="1" customWidth="1"/>
    <col min="23" max="24" width="25.28515625" bestFit="1" customWidth="1"/>
    <col min="25" max="25" width="19" bestFit="1" customWidth="1"/>
    <col min="26" max="26" width="18.85546875" bestFit="1" customWidth="1"/>
    <col min="27" max="27" width="21.5703125" bestFit="1" customWidth="1"/>
  </cols>
  <sheetData>
    <row r="1" spans="1:27">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ht="18.75" customHeight="1">
      <c r="A2" s="1" t="s">
        <v>215</v>
      </c>
      <c r="B2" s="1" t="s">
        <v>216</v>
      </c>
      <c r="C2">
        <v>4</v>
      </c>
      <c r="D2">
        <v>4</v>
      </c>
      <c r="E2">
        <v>4</v>
      </c>
      <c r="F2">
        <v>4</v>
      </c>
      <c r="G2" t="s">
        <v>29</v>
      </c>
      <c r="H2" t="str" cm="1">
        <f t="array" ref="H2">"Fluência: " &amp; ROUND(AVERAGE(IF($N$2:$N$121="ORIGINAL", $C$2:$C$121)), 1)</f>
        <v>Fluência: 3,4</v>
      </c>
      <c r="I2" t="str" cm="1">
        <f t="array" ref="I2">"Fluência: " &amp; ROUND(MODE(IF($N$2:$N$121="ORIGINAL", $C$2:$C$121)), 1)</f>
        <v>Fluência: 3</v>
      </c>
      <c r="J2" t="str" cm="1">
        <f t="array" ref="J2">"Fluência: " &amp; ROUND(MEDIAN(IF($N$2:$N$121="ORIGINAL", $C$2:$C$121)), 1)</f>
        <v>Fluência: 3</v>
      </c>
      <c r="K2" t="str" cm="1">
        <f t="array" ref="K2">"Fluência: " &amp; ROUND(AVERAGE(IF($N$2:$N$121="SINTETICO", $C$2:$C$121)), 1)</f>
        <v>Fluência: 4,4</v>
      </c>
      <c r="L2" t="str" cm="1">
        <f t="array" ref="L2">"Fluência: " &amp; ROUND(MODE(IF($N$2:$N$121="SINTETICO", $C$2:$C$121)), 1)</f>
        <v>Fluência: 5</v>
      </c>
      <c r="M2" t="str" cm="1">
        <f t="array" ref="M2">"Fluência: " &amp; ROUND(MEDIAN(IF($N$2:$N$121="SINTETICO", $C$2:$C$121)), 1)</f>
        <v>Fluência: 5</v>
      </c>
      <c r="N2" t="s">
        <v>30</v>
      </c>
      <c r="O2" t="s">
        <v>31</v>
      </c>
      <c r="P2" t="str" cm="1">
        <f t="array" ref="P2">"Fluência: " &amp; ROUND(AVERAGE(IF(($N$2:$N$121="SINTETICO")*($O$2:$O$121="EXCELENTE"), $C$2:$C$121)), 1)</f>
        <v>Fluência: 4,9</v>
      </c>
      <c r="Q2" t="str" cm="1">
        <f t="array" ref="Q2">"Fluência: " &amp; ROUND(MODE(IF(($N$2:$N$121="SINTETICO")*($O$2:$O$121="EXCELENTE"), $C$2:$C$121)), 1)</f>
        <v>Fluência: 5</v>
      </c>
      <c r="R2" t="str" cm="1">
        <f t="array" ref="R2">"Fluência: " &amp; ROUND(MEDIAN(IF(($N$2:$N$121="SINTETICO")*($O$2:$O$121="EXCELENTE"), $C$2:$C$121)), 1)</f>
        <v>Fluência: 5</v>
      </c>
      <c r="S2" t="str" cm="1">
        <f t="array" ref="S2">"Fluência: " &amp; ROUND(AVERAGE(IF(($N$2:$N$121="SINTETICO")*($O$2:$O$121="BOA"), $C$2:$C$121)), 1)</f>
        <v>Fluência: 4,9</v>
      </c>
      <c r="T2" t="str" cm="1">
        <f t="array" ref="T2">"Fluência: " &amp; ROUND(MODE(IF(($N$2:$N$121="SINTETICO")*($O$2:$O$121="BOA"), $C$2:$C$121)), 1)</f>
        <v>Fluência: 5</v>
      </c>
      <c r="U2" t="str" cm="1">
        <f t="array" ref="U2">"Fluência: " &amp; ROUND(MEDIAN(IF(($N$2:$N$121="SINTETICO")*($O$2:$O$121="BOA"), $C$2:$C$121)), 1)</f>
        <v>Fluência: 5</v>
      </c>
      <c r="V2" t="str" cm="1">
        <f t="array" ref="V2">"Fluência: " &amp; ROUND(AVERAGE(IF(($N$2:$N$121="SINTETICO")*($O$2:$O$121="MEDIANA"), $C$2:$C$121)), 1)</f>
        <v>Fluência: 4,1</v>
      </c>
      <c r="W2" t="str" cm="1">
        <f t="array" ref="W2">"Fluência: " &amp; ROUND(MODE(IF(($N$2:$N$121="SINTETICO")*($O$2:$O$121="MEDIANA"), $C$2:$C$121)), 1)</f>
        <v>Fluência: 4</v>
      </c>
      <c r="X2" t="str" cm="1">
        <f t="array" ref="X2">"Fluência: " &amp; ROUND(MEDIAN(IF(($N$2:$N$121="SINTETICO")*($O$2:$O$121="MEDIANA"), $C$2:$C$121)), 1)</f>
        <v>Fluência: 4</v>
      </c>
      <c r="Y2" t="str" cm="1">
        <f t="array" ref="Y2">"Fluência: " &amp; ROUND(AVERAGE(IF(($N$2:$N$121="SINTETICO")*($O$2:$O$121="RUIM"), $C$2:$C$121)), 1)</f>
        <v>Fluência: 3,4</v>
      </c>
      <c r="Z2" t="str" cm="1">
        <f t="array" ref="Z2">"Fluência: " &amp; ROUND(MODE(IF(($N$2:$N$121="SINTETICO")*($O$2:$O$121="RUIM"), $C$2:$C$121)), 1)</f>
        <v>Fluência: 3</v>
      </c>
      <c r="AA2" t="str" cm="1">
        <f t="array" ref="AA2">"Fluência: " &amp; ROUND(MEDIAN(IF(($N$2:$N$121="SINTETICO")*($O$2:$O$121="RUIM"), $C$2:$C$121)), 1)</f>
        <v>Fluência: 3</v>
      </c>
    </row>
    <row r="3" spans="1:27" ht="17.25" customHeight="1">
      <c r="A3" s="1" t="s">
        <v>215</v>
      </c>
      <c r="B3" s="1" t="s">
        <v>217</v>
      </c>
      <c r="C3">
        <v>3</v>
      </c>
      <c r="D3">
        <v>4</v>
      </c>
      <c r="E3">
        <v>4</v>
      </c>
      <c r="F3">
        <v>4</v>
      </c>
      <c r="G3" t="s">
        <v>33</v>
      </c>
      <c r="H3" t="str" cm="1">
        <f t="array" ref="H3">"Coerência: " &amp; ROUND(AVERAGE(IF($N$2:$N$121="ORIGINAL", $D$2:$D$121)), 1)</f>
        <v>Coerência: 4,1</v>
      </c>
      <c r="I3" t="str" cm="1">
        <f t="array" ref="I3">"Coerência: " &amp; ROUND(MODE(IF($N$2:$N$121="ORIGINAL", $D$2:$D$121)), 1)</f>
        <v>Coerência: 4</v>
      </c>
      <c r="J3" t="str" cm="1">
        <f t="array" ref="J3">"Coerência: " &amp; ROUND(MEDIAN(IF($N$2:$N$121="ORIGINAL", $D$2:$D$121)), 1)</f>
        <v>Coerência: 4</v>
      </c>
      <c r="K3" t="str" cm="1">
        <f t="array" ref="K3">"Coerência: " &amp; ROUND(AVERAGE(IF($N$2:$N$121="SINTETICO", $D$2:$D$121)), 1)</f>
        <v>Coerência: 4,6</v>
      </c>
      <c r="L3" t="str" cm="1">
        <f t="array" ref="L3">"Coerência: " &amp; ROUND(MODE(IF($N$2:$N$121="SINTETICO", $D$2:$D$121)), 1)</f>
        <v>Coerência: 5</v>
      </c>
      <c r="M3" t="str" cm="1">
        <f t="array" ref="M3">"Coerência: " &amp; ROUND(MEDIAN(IF($N$2:$N$121="SINTETICO", $D$2:$D$121)), 1)</f>
        <v>Coerência: 5</v>
      </c>
      <c r="N3" t="s">
        <v>34</v>
      </c>
      <c r="P3" t="str" cm="1">
        <f t="array" ref="P3">"Coerência: " &amp; ROUND(AVERAGE(IF(($N$2:$N$121="SINTETICO")*($O$2:$O$121="EXCELENTE"), $D$2:$D$121)), 1)</f>
        <v>Coerência: 4,9</v>
      </c>
      <c r="Q3" t="str" cm="1">
        <f t="array" ref="Q3">"Coerência: " &amp; ROUND(MODE(IF(($N$2:$N$121="SINTETICO")*($O$2:$O$121="EXCELENTE"), $D$2:$D$121)), 1)</f>
        <v>Coerência: 5</v>
      </c>
      <c r="R3" t="str" cm="1">
        <f t="array" ref="R3">"Coerência: " &amp; ROUND(MEDIAN(IF(($N$2:$N$121="SINTETICO")*($O$2:$O$121="EXCELENTE"), $D$2:$D$121)), 1)</f>
        <v>Coerência: 5</v>
      </c>
      <c r="S3" t="str" cm="1">
        <f t="array" ref="S3">"Coerência: " &amp; ROUND(AVERAGE(IF(($N$2:$N$121="SINTETICO")*($O$2:$O$121="BOA"), $D$2:$D$121)), 1)</f>
        <v>Coerência: 4,9</v>
      </c>
      <c r="T3" t="str" cm="1">
        <f t="array" ref="T3">"Coerência: " &amp; ROUND(MODE(IF(($N$2:$N$121="SINTETICO")*($O$2:$O$121="BOA"), $D$2:$D$121)), 1)</f>
        <v>Coerência: 5</v>
      </c>
      <c r="U3" t="str" cm="1">
        <f t="array" ref="U3">"Coerência: " &amp; ROUND(MEDIAN(IF(($N$2:$N$121="SINTETICO")*($O$2:$O$121="BOA"), $D$2:$D$121)), 1)</f>
        <v>Coerência: 5</v>
      </c>
      <c r="V3" t="str" cm="1">
        <f t="array" ref="V3">"Coerência: " &amp; ROUND(AVERAGE(IF(($N$2:$N$121="SINTETICO")*($O$2:$O$121="MEDIANA"), $D$2:$D$121)), 1)</f>
        <v>Coerência: 4,7</v>
      </c>
      <c r="W3" t="str" cm="1">
        <f t="array" ref="W3">"Coerência: " &amp; ROUND(MODE(IF(($N$2:$N$121="SINTETICO")*($O$2:$O$121="MEDIANA"), $D$2:$D$121)), 1)</f>
        <v>Coerência: 5</v>
      </c>
      <c r="X3" t="str" cm="1">
        <f t="array" ref="X3">"Coerência: " &amp; ROUND(MEDIAN(IF(($N$2:$N$121="SINTETICO")*($O$2:$O$121="MEDIANA"), $D$2:$D$121)), 1)</f>
        <v>Coerência: 5</v>
      </c>
      <c r="Y3" t="str" cm="1">
        <f t="array" ref="Y3">"Coerência: " &amp; ROUND(AVERAGE(IF(($N$2:$N$121="SINTETICO")*($O$2:$O$121="RUIM"), $D$2:$D$121)), 1)</f>
        <v>Coerência: 4</v>
      </c>
      <c r="Z3" t="str" cm="1">
        <f t="array" ref="Z3">"Coerência: " &amp; ROUND(MODE(IF(($N$2:$N$121="SINTETICO")*($O$2:$O$121="RUIM"), $D$2:$D$121)), 1)</f>
        <v>Coerência: 3</v>
      </c>
      <c r="AA3" t="str" cm="1">
        <f t="array" ref="AA3">"Coerência: " &amp; ROUND(MEDIAN(IF(($N$2:$N$121="SINTETICO")*($O$2:$O$121="RUIM"), $D$2:$D$121)), 1)</f>
        <v>Coerência: 4</v>
      </c>
    </row>
    <row r="4" spans="1:27" ht="15.75" customHeight="1">
      <c r="A4" s="1" t="s">
        <v>218</v>
      </c>
      <c r="B4" s="1" t="s">
        <v>219</v>
      </c>
      <c r="C4">
        <v>4</v>
      </c>
      <c r="D4">
        <v>4</v>
      </c>
      <c r="E4">
        <v>4</v>
      </c>
      <c r="F4">
        <v>4</v>
      </c>
      <c r="G4" t="s">
        <v>29</v>
      </c>
      <c r="H4" t="str" cm="1">
        <f t="array" ref="H4">"Realismo: " &amp; ROUND(AVERAGE(IF($N$2:$N$121="ORIGINAL", $E$2:$E$121)), 1)</f>
        <v>Realismo: 4,3</v>
      </c>
      <c r="I4" t="str" cm="1">
        <f t="array" ref="I4">"Realismo: " &amp; ROUND(MODE(IF($N$2:$N$121="ORIGINAL", $E$2:$E$121)), 1)</f>
        <v>Realismo: 4</v>
      </c>
      <c r="J4" t="str" cm="1">
        <f t="array" ref="J4">"Realismo: " &amp; ROUND(MEDIAN(IF($N$2:$N$121="ORIGINAL", $E$2:$E$121)), 1)</f>
        <v>Realismo: 4</v>
      </c>
      <c r="K4" t="str" cm="1">
        <f t="array" ref="K4">"Realismo: " &amp; ROUND(AVERAGE(IF($N$2:$N$121="SINTETICO", $E$2:$E$121)), 1)</f>
        <v>Realismo: 4,7</v>
      </c>
      <c r="L4" t="str" cm="1">
        <f t="array" ref="L4">"Realismo: " &amp; ROUND(MODE(IF($N$2:$N$121="SINTETICO", $E$2:$E$121)), 1)</f>
        <v>Realismo: 5</v>
      </c>
      <c r="M4" t="str" cm="1">
        <f t="array" ref="M4">"Realismo: " &amp; ROUND(MEDIAN(IF($N$2:$N$121="SINTETICO", $E$2:$E$121)), 1)</f>
        <v>Realismo: 5</v>
      </c>
      <c r="N4" t="s">
        <v>34</v>
      </c>
      <c r="P4" t="str" cm="1">
        <f t="array" ref="P4">"Realismo: " &amp; ROUND(AVERAGE(IF(($N$2:$N$121="SINTETICO")*($O$2:$O$121="EXCELENTE"), $E$2:$E$121)), 1)</f>
        <v>Realismo: 4,9</v>
      </c>
      <c r="Q4" t="str" cm="1">
        <f t="array" ref="Q4">"Realismo: " &amp; ROUND(MODE(IF(($N$2:$N$121="SINTETICO")*($O$2:$O$121="EXCELENTE"), $E$2:$E$121)), 1)</f>
        <v>Realismo: 5</v>
      </c>
      <c r="R4" t="str" cm="1">
        <f t="array" ref="R4">"Realismo: " &amp; ROUND(MEDIAN(IF(($N$2:$N$121="SINTETICO")*($O$2:$O$121="EXCELENTE"), $E$2:$E$121)), 1)</f>
        <v>Realismo: 5</v>
      </c>
      <c r="S4" t="str" cm="1">
        <f t="array" ref="S4">"Realismo: " &amp; ROUND(AVERAGE(IF(($N$2:$N$121="SINTETICO")*($O$2:$O$121="BOA"), $E$2:$E$121)), 1)</f>
        <v>Realismo: 4,9</v>
      </c>
      <c r="T4" t="str" cm="1">
        <f t="array" ref="T4">"Realismo: " &amp; ROUND(MODE(IF(($N$2:$N$121="SINTETICO")*($O$2:$O$121="BOA"), $E$2:$E$121)), 1)</f>
        <v>Realismo: 5</v>
      </c>
      <c r="U4" t="str" cm="1">
        <f t="array" ref="U4">"Realismo: " &amp; ROUND(MEDIAN(IF(($N$2:$N$121="SINTETICO")*($O$2:$O$121="BOA"), $E$2:$E$121)), 1)</f>
        <v>Realismo: 5</v>
      </c>
      <c r="V4" t="str" cm="1">
        <f t="array" ref="V4">"Realismo: " &amp; ROUND(AVERAGE(IF(($N$2:$N$121="SINTETICO")*($O$2:$O$121="MEDIANA"), $E$2:$E$121)), 1)</f>
        <v>Realismo: 4,7</v>
      </c>
      <c r="W4" t="str" cm="1">
        <f t="array" ref="W4">"Realismo: " &amp; ROUND(MODE(IF(($N$2:$N$121="SINTETICO")*($O$2:$O$121="MEDIANA"), $E$2:$E$121)), 1)</f>
        <v>Realismo: 5</v>
      </c>
      <c r="X4" t="str" cm="1">
        <f t="array" ref="X4">"Realismo: " &amp; ROUND(MEDIAN(IF(($N$2:$N$121="SINTETICO")*($O$2:$O$121="MEDIANA"), $E$2:$E$121)), 1)</f>
        <v>Realismo: 5</v>
      </c>
      <c r="Y4" t="str" cm="1">
        <f t="array" ref="Y4">"Realismo: " &amp; ROUND(AVERAGE(IF(($N$2:$N$121="SINTETICO")*($O$2:$O$121="RUIM"), $E$2:$E$121)), 1)</f>
        <v>Realismo: 4,3</v>
      </c>
      <c r="Z4" t="str" cm="1">
        <f t="array" ref="Z4">"Realismo: " &amp; ROUND(MODE(IF(($N$2:$N$121="SINTETICO")*($O$2:$O$121="RUIM"), $E$2:$E$121)), 1)</f>
        <v>Realismo: 4</v>
      </c>
      <c r="AA4" t="str" cm="1">
        <f t="array" ref="AA4">"Realismo: " &amp; ROUND(MEDIAN(IF(($N$2:$N$121="SINTETICO")*($O$2:$O$121="RUIM"), $E$2:$E$121)), 1)</f>
        <v>Realismo: 4</v>
      </c>
    </row>
    <row r="5" spans="1:27" ht="18" customHeight="1">
      <c r="A5" s="1" t="s">
        <v>218</v>
      </c>
      <c r="B5" s="1" t="s">
        <v>220</v>
      </c>
      <c r="C5">
        <v>3</v>
      </c>
      <c r="D5">
        <v>3</v>
      </c>
      <c r="E5">
        <v>4</v>
      </c>
      <c r="F5">
        <v>3</v>
      </c>
      <c r="G5" t="s">
        <v>33</v>
      </c>
      <c r="H5" t="str" cm="1">
        <f t="array" ref="H5">"Especificidade: " &amp; ROUND(AVERAGE(IF($N$2:$N$121="ORIGINAL", $F$2:$F$121)), 1)</f>
        <v>Especificidade: 3,9</v>
      </c>
      <c r="I5" t="str" cm="1">
        <f t="array" ref="I5">"Especificidade: " &amp; ROUND(MODE(IF($N$2:$N$121="ORIGINAL", $F$2:$F$121)), 1)</f>
        <v>Especificidade: 4</v>
      </c>
      <c r="J5" t="str" cm="1">
        <f t="array" ref="J5">"Especificidade: " &amp; ROUND(MEDIAN(IF($N$2:$N$121="ORIGINAL", $F$2:$F$121)), 1)</f>
        <v>Especificidade: 4</v>
      </c>
      <c r="K5" t="str" cm="1">
        <f t="array" ref="K5">"Especificidade: " &amp; ROUND(AVERAGE(IF($N$2:$N$121="SINTETICO", $F$2:$F$121)), 1)</f>
        <v>Especificidade: 4,3</v>
      </c>
      <c r="L5" t="str" cm="1">
        <f t="array" ref="L5">"Especificidade: " &amp; ROUND(MODE(IF($N$2:$N$121="SINTETICO", $F$2:$F$121)), 1)</f>
        <v>Especificidade: 5</v>
      </c>
      <c r="M5" t="str" cm="1">
        <f t="array" ref="M5">"Especificidade: " &amp; ROUND(MEDIAN(IF($N$2:$N$121="SINTETICO", $F$2:$F$121)), 1)</f>
        <v>Especificidade: 4</v>
      </c>
      <c r="N5" t="s">
        <v>30</v>
      </c>
      <c r="O5" t="s">
        <v>81</v>
      </c>
      <c r="P5" t="str" cm="1">
        <f t="array" ref="P5">"Especificidade: " &amp; ROUND(AVERAGE(IF(($N$2:$N$121="SINTETICO")*($O$2:$O$121="EXCELENTE"), $F$2:$F$121)), 1)</f>
        <v>Especificidade: 4,9</v>
      </c>
      <c r="Q5" t="str" cm="1">
        <f t="array" ref="Q5">"Especificidade: " &amp; ROUND(MODE(IF(($N$2:$N$121="SINTETICO")*($O$2:$O$121="EXCELENTE"), $F$2:$F$121)), 1)</f>
        <v>Especificidade: 5</v>
      </c>
      <c r="R5" t="str" cm="1">
        <f t="array" ref="R5">"Especificidade: " &amp; ROUND(MEDIAN(IF(($N$2:$N$121="SINTETICO")*($O$2:$O$121="EXCELENTE"), $F$2:$F$121)), 1)</f>
        <v>Especificidade: 5</v>
      </c>
      <c r="S5" t="str" cm="1">
        <f t="array" ref="S5">"Especificidade: " &amp; ROUND(AVERAGE(IF(($N$2:$N$121="SINTETICO")*($O$2:$O$121="BOA"), $F$2:$F$121)), 1)</f>
        <v>Especificidade: 4,7</v>
      </c>
      <c r="T5" t="str" cm="1">
        <f t="array" ref="T5">"Especificidade: " &amp; ROUND(MODE(IF(($N$2:$N$121="SINTETICO")*($O$2:$O$121="BOA"), $F$2:$F$121)), 1)</f>
        <v>Especificidade: 5</v>
      </c>
      <c r="U5" t="str" cm="1">
        <f t="array" ref="U5">"Especificidade: " &amp; ROUND(MEDIAN(IF(($N$2:$N$121="SINTETICO")*($O$2:$O$121="BOA"), $F$2:$F$121)), 1)</f>
        <v>Especificidade: 5</v>
      </c>
      <c r="V5" t="str" cm="1">
        <f t="array" ref="V5">"Especificidade: " &amp; ROUND(AVERAGE(IF(($N$2:$N$121="SINTETICO")*($O$2:$O$121="MEDIANA"), $F$2:$F$121)), 1)</f>
        <v>Especificidade: 3,9</v>
      </c>
      <c r="W5" t="str" cm="1">
        <f t="array" ref="W5">"Especificidade: " &amp; ROUND(MODE(IF(($N$2:$N$121="SINTETICO")*($O$2:$O$121="MEDIANA"), $F$2:$F$121)), 1)</f>
        <v>Especificidade: 4</v>
      </c>
      <c r="X5" t="str" cm="1">
        <f t="array" ref="X5">"Especificidade: " &amp; ROUND(MEDIAN(IF(($N$2:$N$121="SINTETICO")*($O$2:$O$121="MEDIANA"), $F$2:$F$121)), 1)</f>
        <v>Especificidade: 4</v>
      </c>
      <c r="Y5" t="str" cm="1">
        <f t="array" ref="Y5">"Especificidade: " &amp; ROUND(AVERAGE(IF(($N$2:$N$121="SINTETICO")*($O$2:$O$121="RUIM"), $F$2:$F$121)), 1)</f>
        <v>Especificidade: 3,5</v>
      </c>
      <c r="Z5" t="str" cm="1">
        <f t="array" ref="Z5">"Especificidade: " &amp; ROUND(MODE(IF(($N$2:$N$121="SINTETICO")*($O$2:$O$121="RUIM"), $F$2:$F$121)), 1)</f>
        <v>Especificidade: 3</v>
      </c>
      <c r="AA5" t="str" cm="1">
        <f t="array" ref="AA5">"Especificidade: " &amp; ROUND(MEDIAN(IF(($N$2:$N$121="SINTETICO")*($O$2:$O$121="RUIM"), $F$2:$F$121)), 1)</f>
        <v>Especificidade: 3</v>
      </c>
    </row>
    <row r="6" spans="1:27" ht="19.5" customHeight="1">
      <c r="A6" s="1" t="s">
        <v>221</v>
      </c>
      <c r="B6" s="1" t="s">
        <v>222</v>
      </c>
      <c r="C6">
        <v>5</v>
      </c>
      <c r="D6">
        <v>5</v>
      </c>
      <c r="E6">
        <v>5</v>
      </c>
      <c r="F6">
        <v>5</v>
      </c>
      <c r="G6" t="s">
        <v>29</v>
      </c>
      <c r="N6" t="s">
        <v>30</v>
      </c>
      <c r="O6" t="s">
        <v>48</v>
      </c>
    </row>
    <row r="7" spans="1:27" ht="18" customHeight="1">
      <c r="A7" s="1" t="s">
        <v>221</v>
      </c>
      <c r="B7" s="1" t="s">
        <v>223</v>
      </c>
      <c r="C7">
        <v>3</v>
      </c>
      <c r="D7">
        <v>3</v>
      </c>
      <c r="E7">
        <v>4</v>
      </c>
      <c r="F7">
        <v>4</v>
      </c>
      <c r="G7" t="s">
        <v>33</v>
      </c>
      <c r="N7" t="s">
        <v>34</v>
      </c>
    </row>
    <row r="8" spans="1:27" ht="17.25" customHeight="1">
      <c r="A8" s="1" t="s">
        <v>224</v>
      </c>
      <c r="B8" s="1" t="s">
        <v>225</v>
      </c>
      <c r="C8">
        <v>3</v>
      </c>
      <c r="D8">
        <v>3</v>
      </c>
      <c r="E8">
        <v>4</v>
      </c>
      <c r="F8">
        <v>3</v>
      </c>
      <c r="G8" t="s">
        <v>33</v>
      </c>
      <c r="N8" t="s">
        <v>30</v>
      </c>
      <c r="O8" t="s">
        <v>81</v>
      </c>
    </row>
    <row r="9" spans="1:27" ht="18" customHeight="1">
      <c r="A9" s="1" t="s">
        <v>224</v>
      </c>
      <c r="B9" s="1" t="s">
        <v>226</v>
      </c>
      <c r="C9">
        <v>3</v>
      </c>
      <c r="D9">
        <v>4</v>
      </c>
      <c r="E9">
        <v>4</v>
      </c>
      <c r="F9">
        <v>4</v>
      </c>
      <c r="G9" t="s">
        <v>29</v>
      </c>
      <c r="N9" t="s">
        <v>34</v>
      </c>
    </row>
    <row r="10" spans="1:27" ht="15" customHeight="1">
      <c r="A10" s="1" t="s">
        <v>227</v>
      </c>
      <c r="B10" s="1" t="s">
        <v>228</v>
      </c>
      <c r="C10">
        <v>4</v>
      </c>
      <c r="D10">
        <v>4</v>
      </c>
      <c r="E10">
        <v>4</v>
      </c>
      <c r="F10">
        <v>4</v>
      </c>
      <c r="G10" t="s">
        <v>33</v>
      </c>
      <c r="N10" t="s">
        <v>34</v>
      </c>
    </row>
    <row r="11" spans="1:27" ht="16.5" customHeight="1">
      <c r="A11" s="1" t="s">
        <v>227</v>
      </c>
      <c r="B11" s="1" t="s">
        <v>229</v>
      </c>
      <c r="C11">
        <v>5</v>
      </c>
      <c r="D11">
        <v>5</v>
      </c>
      <c r="E11">
        <v>5</v>
      </c>
      <c r="F11">
        <v>5</v>
      </c>
      <c r="G11" t="s">
        <v>29</v>
      </c>
      <c r="N11" t="s">
        <v>30</v>
      </c>
      <c r="O11" t="s">
        <v>48</v>
      </c>
    </row>
    <row r="12" spans="1:27" ht="20.25" customHeight="1">
      <c r="A12" s="1" t="s">
        <v>230</v>
      </c>
      <c r="B12" s="1" t="s">
        <v>231</v>
      </c>
      <c r="C12">
        <v>4</v>
      </c>
      <c r="D12">
        <v>4</v>
      </c>
      <c r="E12">
        <v>4</v>
      </c>
      <c r="F12">
        <v>4</v>
      </c>
      <c r="G12" t="s">
        <v>33</v>
      </c>
      <c r="N12" t="s">
        <v>30</v>
      </c>
      <c r="O12" t="s">
        <v>81</v>
      </c>
    </row>
    <row r="13" spans="1:27" ht="18" customHeight="1">
      <c r="A13" s="1" t="s">
        <v>230</v>
      </c>
      <c r="B13" s="1" t="s">
        <v>232</v>
      </c>
      <c r="C13">
        <v>3</v>
      </c>
      <c r="D13">
        <v>4</v>
      </c>
      <c r="E13">
        <v>4</v>
      </c>
      <c r="F13">
        <v>4</v>
      </c>
      <c r="G13" t="s">
        <v>29</v>
      </c>
      <c r="N13" t="s">
        <v>34</v>
      </c>
    </row>
    <row r="14" spans="1:27" ht="18.75" customHeight="1">
      <c r="A14" s="1" t="s">
        <v>233</v>
      </c>
      <c r="B14" s="1" t="s">
        <v>234</v>
      </c>
      <c r="C14">
        <v>4</v>
      </c>
      <c r="D14">
        <v>4</v>
      </c>
      <c r="E14">
        <v>4</v>
      </c>
      <c r="F14">
        <v>4</v>
      </c>
      <c r="G14" t="s">
        <v>33</v>
      </c>
      <c r="N14" t="s">
        <v>34</v>
      </c>
    </row>
    <row r="15" spans="1:27" ht="19.5" customHeight="1">
      <c r="A15" s="1" t="s">
        <v>233</v>
      </c>
      <c r="B15" s="1" t="s">
        <v>235</v>
      </c>
      <c r="C15">
        <v>5</v>
      </c>
      <c r="D15">
        <v>5</v>
      </c>
      <c r="E15">
        <v>5</v>
      </c>
      <c r="F15">
        <v>5</v>
      </c>
      <c r="G15" t="s">
        <v>29</v>
      </c>
      <c r="N15" t="s">
        <v>30</v>
      </c>
      <c r="O15" t="s">
        <v>31</v>
      </c>
    </row>
    <row r="16" spans="1:27" ht="18.75" customHeight="1">
      <c r="A16" s="1" t="s">
        <v>236</v>
      </c>
      <c r="B16" s="1" t="s">
        <v>63</v>
      </c>
      <c r="C16">
        <v>4</v>
      </c>
      <c r="D16">
        <v>4</v>
      </c>
      <c r="E16">
        <v>4</v>
      </c>
      <c r="F16">
        <v>4</v>
      </c>
      <c r="G16" t="s">
        <v>33</v>
      </c>
      <c r="N16" t="s">
        <v>34</v>
      </c>
    </row>
    <row r="17" spans="1:15" ht="16.5" customHeight="1">
      <c r="A17" s="1" t="s">
        <v>236</v>
      </c>
      <c r="B17" s="1" t="s">
        <v>237</v>
      </c>
      <c r="C17">
        <v>4</v>
      </c>
      <c r="D17">
        <v>5</v>
      </c>
      <c r="E17">
        <v>5</v>
      </c>
      <c r="F17">
        <v>4</v>
      </c>
      <c r="G17" t="s">
        <v>29</v>
      </c>
      <c r="N17" t="s">
        <v>30</v>
      </c>
      <c r="O17" t="s">
        <v>31</v>
      </c>
    </row>
    <row r="18" spans="1:15" ht="18" customHeight="1">
      <c r="A18" s="1" t="s">
        <v>238</v>
      </c>
      <c r="B18" s="1" t="s">
        <v>239</v>
      </c>
      <c r="C18">
        <v>5</v>
      </c>
      <c r="D18">
        <v>5</v>
      </c>
      <c r="E18">
        <v>5</v>
      </c>
      <c r="F18">
        <v>5</v>
      </c>
      <c r="G18" t="s">
        <v>29</v>
      </c>
      <c r="N18" t="s">
        <v>34</v>
      </c>
    </row>
    <row r="19" spans="1:15" ht="16.5" customHeight="1">
      <c r="A19" s="1" t="s">
        <v>238</v>
      </c>
      <c r="B19" s="1" t="s">
        <v>240</v>
      </c>
      <c r="C19">
        <v>4</v>
      </c>
      <c r="D19">
        <v>4</v>
      </c>
      <c r="E19">
        <v>5</v>
      </c>
      <c r="F19">
        <v>5</v>
      </c>
      <c r="G19" t="s">
        <v>33</v>
      </c>
      <c r="N19" t="s">
        <v>30</v>
      </c>
      <c r="O19" t="s">
        <v>81</v>
      </c>
    </row>
    <row r="20" spans="1:15" ht="18.75" customHeight="1">
      <c r="A20" s="1" t="s">
        <v>241</v>
      </c>
      <c r="B20" s="1" t="s">
        <v>242</v>
      </c>
      <c r="C20">
        <v>4</v>
      </c>
      <c r="D20">
        <v>4</v>
      </c>
      <c r="E20">
        <v>4</v>
      </c>
      <c r="F20">
        <v>4</v>
      </c>
      <c r="G20" t="s">
        <v>33</v>
      </c>
      <c r="N20" t="s">
        <v>34</v>
      </c>
    </row>
    <row r="21" spans="1:15" ht="18" customHeight="1">
      <c r="A21" s="1" t="s">
        <v>241</v>
      </c>
      <c r="B21" s="1" t="s">
        <v>243</v>
      </c>
      <c r="C21">
        <v>5</v>
      </c>
      <c r="D21">
        <v>5</v>
      </c>
      <c r="E21">
        <v>5</v>
      </c>
      <c r="F21">
        <v>5</v>
      </c>
      <c r="G21" t="s">
        <v>29</v>
      </c>
      <c r="N21" t="s">
        <v>30</v>
      </c>
      <c r="O21" t="s">
        <v>43</v>
      </c>
    </row>
    <row r="22" spans="1:15" ht="16.5" customHeight="1">
      <c r="A22" s="1" t="s">
        <v>244</v>
      </c>
      <c r="B22" s="1" t="s">
        <v>245</v>
      </c>
      <c r="C22">
        <v>4</v>
      </c>
      <c r="D22">
        <v>4</v>
      </c>
      <c r="E22">
        <v>4</v>
      </c>
      <c r="F22">
        <v>4</v>
      </c>
      <c r="G22" t="s">
        <v>33</v>
      </c>
      <c r="N22" t="s">
        <v>34</v>
      </c>
    </row>
    <row r="23" spans="1:15" ht="15.75" customHeight="1">
      <c r="A23" s="1" t="s">
        <v>244</v>
      </c>
      <c r="B23" s="1" t="s">
        <v>246</v>
      </c>
      <c r="C23">
        <v>5</v>
      </c>
      <c r="D23">
        <v>5</v>
      </c>
      <c r="E23">
        <v>5</v>
      </c>
      <c r="F23">
        <v>5</v>
      </c>
      <c r="G23" t="s">
        <v>29</v>
      </c>
      <c r="N23" t="s">
        <v>30</v>
      </c>
      <c r="O23" t="s">
        <v>43</v>
      </c>
    </row>
    <row r="24" spans="1:15" ht="21" customHeight="1">
      <c r="A24" s="1" t="s">
        <v>247</v>
      </c>
      <c r="B24" s="1" t="s">
        <v>248</v>
      </c>
      <c r="C24">
        <v>4</v>
      </c>
      <c r="D24">
        <v>4</v>
      </c>
      <c r="E24">
        <v>4</v>
      </c>
      <c r="F24">
        <v>4</v>
      </c>
      <c r="G24" t="s">
        <v>29</v>
      </c>
      <c r="N24" t="s">
        <v>34</v>
      </c>
    </row>
    <row r="25" spans="1:15" ht="18" customHeight="1">
      <c r="A25" s="1" t="s">
        <v>247</v>
      </c>
      <c r="B25" s="1" t="s">
        <v>249</v>
      </c>
      <c r="C25">
        <v>4</v>
      </c>
      <c r="D25">
        <v>5</v>
      </c>
      <c r="E25">
        <v>5</v>
      </c>
      <c r="F25">
        <v>4</v>
      </c>
      <c r="G25" t="s">
        <v>33</v>
      </c>
      <c r="N25" t="s">
        <v>30</v>
      </c>
      <c r="O25" t="s">
        <v>81</v>
      </c>
    </row>
    <row r="26" spans="1:15" ht="18.75" customHeight="1">
      <c r="A26" s="1" t="s">
        <v>250</v>
      </c>
      <c r="B26" s="1" t="s">
        <v>251</v>
      </c>
      <c r="C26">
        <v>5</v>
      </c>
      <c r="D26">
        <v>5</v>
      </c>
      <c r="E26">
        <v>5</v>
      </c>
      <c r="F26">
        <v>4</v>
      </c>
      <c r="G26" t="s">
        <v>29</v>
      </c>
      <c r="N26" t="s">
        <v>30</v>
      </c>
      <c r="O26" t="s">
        <v>31</v>
      </c>
    </row>
    <row r="27" spans="1:15" ht="17.25" customHeight="1">
      <c r="A27" s="1" t="s">
        <v>250</v>
      </c>
      <c r="B27" s="1" t="s">
        <v>252</v>
      </c>
      <c r="C27">
        <v>4</v>
      </c>
      <c r="D27">
        <v>4</v>
      </c>
      <c r="E27">
        <v>4</v>
      </c>
      <c r="F27">
        <v>4</v>
      </c>
      <c r="G27" t="s">
        <v>33</v>
      </c>
      <c r="N27" t="s">
        <v>34</v>
      </c>
    </row>
    <row r="28" spans="1:15" ht="18" customHeight="1">
      <c r="A28" s="1" t="s">
        <v>253</v>
      </c>
      <c r="B28" s="1" t="s">
        <v>254</v>
      </c>
      <c r="C28">
        <v>5</v>
      </c>
      <c r="D28">
        <v>5</v>
      </c>
      <c r="E28">
        <v>5</v>
      </c>
      <c r="F28">
        <v>5</v>
      </c>
      <c r="G28" t="s">
        <v>29</v>
      </c>
      <c r="N28" t="s">
        <v>30</v>
      </c>
      <c r="O28" t="s">
        <v>43</v>
      </c>
    </row>
    <row r="29" spans="1:15" ht="18" customHeight="1">
      <c r="A29" s="1" t="s">
        <v>253</v>
      </c>
      <c r="B29" s="1" t="s">
        <v>255</v>
      </c>
      <c r="C29">
        <v>4</v>
      </c>
      <c r="D29">
        <v>4</v>
      </c>
      <c r="E29">
        <v>4</v>
      </c>
      <c r="F29">
        <v>4</v>
      </c>
      <c r="G29" t="s">
        <v>33</v>
      </c>
      <c r="N29" t="s">
        <v>34</v>
      </c>
    </row>
    <row r="30" spans="1:15" ht="19.5" customHeight="1">
      <c r="A30" s="1" t="s">
        <v>256</v>
      </c>
      <c r="B30" s="1" t="s">
        <v>257</v>
      </c>
      <c r="C30">
        <v>5</v>
      </c>
      <c r="D30">
        <v>5</v>
      </c>
      <c r="E30">
        <v>5</v>
      </c>
      <c r="F30">
        <v>4</v>
      </c>
      <c r="G30" t="s">
        <v>33</v>
      </c>
      <c r="N30" t="s">
        <v>34</v>
      </c>
    </row>
    <row r="31" spans="1:15" ht="19.5" customHeight="1">
      <c r="A31" s="1" t="s">
        <v>256</v>
      </c>
      <c r="B31" s="1" t="s">
        <v>258</v>
      </c>
      <c r="C31">
        <v>5</v>
      </c>
      <c r="D31">
        <v>5</v>
      </c>
      <c r="E31">
        <v>5</v>
      </c>
      <c r="F31">
        <v>5</v>
      </c>
      <c r="G31" t="s">
        <v>29</v>
      </c>
      <c r="N31" t="s">
        <v>30</v>
      </c>
      <c r="O31" t="s">
        <v>48</v>
      </c>
    </row>
    <row r="32" spans="1:15" ht="21" customHeight="1">
      <c r="A32" s="1" t="s">
        <v>259</v>
      </c>
      <c r="B32" s="1" t="s">
        <v>260</v>
      </c>
      <c r="C32">
        <v>5</v>
      </c>
      <c r="D32">
        <v>5</v>
      </c>
      <c r="E32">
        <v>5</v>
      </c>
      <c r="F32">
        <v>5</v>
      </c>
      <c r="G32" t="s">
        <v>29</v>
      </c>
      <c r="N32" t="s">
        <v>30</v>
      </c>
      <c r="O32" t="s">
        <v>43</v>
      </c>
    </row>
    <row r="33" spans="1:15" ht="21" customHeight="1">
      <c r="A33" s="1" t="s">
        <v>259</v>
      </c>
      <c r="B33" s="1" t="s">
        <v>261</v>
      </c>
      <c r="C33">
        <v>4</v>
      </c>
      <c r="D33">
        <v>4</v>
      </c>
      <c r="E33">
        <v>4</v>
      </c>
      <c r="F33">
        <v>4</v>
      </c>
      <c r="G33" t="s">
        <v>33</v>
      </c>
      <c r="N33" t="s">
        <v>34</v>
      </c>
    </row>
    <row r="34" spans="1:15" ht="13.5" customHeight="1">
      <c r="A34" s="1" t="s">
        <v>262</v>
      </c>
      <c r="B34" s="1" t="s">
        <v>263</v>
      </c>
      <c r="C34">
        <v>5</v>
      </c>
      <c r="D34">
        <v>5</v>
      </c>
      <c r="E34">
        <v>5</v>
      </c>
      <c r="F34">
        <v>5</v>
      </c>
      <c r="G34" t="s">
        <v>29</v>
      </c>
      <c r="N34" t="s">
        <v>30</v>
      </c>
      <c r="O34" t="s">
        <v>43</v>
      </c>
    </row>
    <row r="35" spans="1:15" ht="18" customHeight="1">
      <c r="A35" s="1" t="s">
        <v>262</v>
      </c>
      <c r="B35" s="1" t="s">
        <v>264</v>
      </c>
      <c r="C35">
        <v>4</v>
      </c>
      <c r="D35">
        <v>4</v>
      </c>
      <c r="E35">
        <v>4</v>
      </c>
      <c r="F35">
        <v>4</v>
      </c>
      <c r="G35" t="s">
        <v>33</v>
      </c>
      <c r="N35" t="s">
        <v>34</v>
      </c>
    </row>
    <row r="36" spans="1:15" ht="15" customHeight="1">
      <c r="A36" s="1" t="s">
        <v>265</v>
      </c>
      <c r="B36" s="1" t="s">
        <v>266</v>
      </c>
      <c r="C36">
        <v>5</v>
      </c>
      <c r="D36">
        <v>5</v>
      </c>
      <c r="E36">
        <v>5</v>
      </c>
      <c r="F36">
        <v>5</v>
      </c>
      <c r="G36" t="s">
        <v>29</v>
      </c>
      <c r="N36" t="s">
        <v>30</v>
      </c>
      <c r="O36" t="s">
        <v>48</v>
      </c>
    </row>
    <row r="37" spans="1:15" ht="16.5" customHeight="1">
      <c r="A37" s="1" t="s">
        <v>265</v>
      </c>
      <c r="B37" s="1" t="s">
        <v>267</v>
      </c>
      <c r="C37">
        <v>3</v>
      </c>
      <c r="D37">
        <v>4</v>
      </c>
      <c r="E37">
        <v>4</v>
      </c>
      <c r="F37">
        <v>3</v>
      </c>
      <c r="G37" t="s">
        <v>33</v>
      </c>
      <c r="N37" t="s">
        <v>34</v>
      </c>
    </row>
    <row r="38" spans="1:15" ht="20.25" customHeight="1">
      <c r="A38" s="1" t="s">
        <v>268</v>
      </c>
      <c r="B38" s="1" t="s">
        <v>269</v>
      </c>
      <c r="C38">
        <v>4</v>
      </c>
      <c r="D38">
        <v>4</v>
      </c>
      <c r="E38">
        <v>4</v>
      </c>
      <c r="F38">
        <v>3</v>
      </c>
      <c r="G38" t="s">
        <v>33</v>
      </c>
      <c r="N38" t="s">
        <v>34</v>
      </c>
    </row>
    <row r="39" spans="1:15" ht="18" customHeight="1">
      <c r="A39" s="1" t="s">
        <v>268</v>
      </c>
      <c r="B39" s="1" t="s">
        <v>270</v>
      </c>
      <c r="C39">
        <v>5</v>
      </c>
      <c r="D39">
        <v>5</v>
      </c>
      <c r="E39">
        <v>5</v>
      </c>
      <c r="F39">
        <v>5</v>
      </c>
      <c r="G39" t="s">
        <v>29</v>
      </c>
      <c r="N39" t="s">
        <v>30</v>
      </c>
      <c r="O39" t="s">
        <v>48</v>
      </c>
    </row>
    <row r="40" spans="1:15" ht="18" customHeight="1">
      <c r="A40" s="1" t="s">
        <v>271</v>
      </c>
      <c r="B40" s="1" t="s">
        <v>272</v>
      </c>
      <c r="C40">
        <v>5</v>
      </c>
      <c r="D40">
        <v>5</v>
      </c>
      <c r="E40">
        <v>5</v>
      </c>
      <c r="F40">
        <v>5</v>
      </c>
      <c r="G40" t="s">
        <v>29</v>
      </c>
      <c r="N40" t="s">
        <v>30</v>
      </c>
      <c r="O40" t="s">
        <v>31</v>
      </c>
    </row>
    <row r="41" spans="1:15" ht="17.25" customHeight="1">
      <c r="A41" s="1" t="s">
        <v>271</v>
      </c>
      <c r="B41" s="1" t="s">
        <v>273</v>
      </c>
      <c r="C41">
        <v>4</v>
      </c>
      <c r="D41">
        <v>4</v>
      </c>
      <c r="E41">
        <v>3</v>
      </c>
      <c r="F41">
        <v>3</v>
      </c>
      <c r="G41" t="s">
        <v>33</v>
      </c>
      <c r="N41" t="s">
        <v>34</v>
      </c>
    </row>
    <row r="42" spans="1:15" ht="15.75" customHeight="1">
      <c r="A42" s="1" t="s">
        <v>274</v>
      </c>
      <c r="B42" s="1" t="s">
        <v>275</v>
      </c>
      <c r="C42">
        <v>5</v>
      </c>
      <c r="D42">
        <v>5</v>
      </c>
      <c r="E42">
        <v>5</v>
      </c>
      <c r="F42">
        <v>5</v>
      </c>
      <c r="G42" t="s">
        <v>29</v>
      </c>
      <c r="N42" t="s">
        <v>30</v>
      </c>
      <c r="O42" t="s">
        <v>43</v>
      </c>
    </row>
    <row r="43" spans="1:15" ht="18.75" customHeight="1">
      <c r="A43" s="1" t="s">
        <v>274</v>
      </c>
      <c r="B43" s="1" t="s">
        <v>276</v>
      </c>
      <c r="C43">
        <v>4</v>
      </c>
      <c r="D43">
        <v>4</v>
      </c>
      <c r="E43">
        <v>4</v>
      </c>
      <c r="F43">
        <v>4</v>
      </c>
      <c r="G43" t="s">
        <v>33</v>
      </c>
      <c r="N43" t="s">
        <v>34</v>
      </c>
    </row>
    <row r="44" spans="1:15" ht="19.5" customHeight="1">
      <c r="A44" s="1" t="s">
        <v>277</v>
      </c>
      <c r="B44" s="1" t="s">
        <v>278</v>
      </c>
      <c r="C44">
        <v>3</v>
      </c>
      <c r="D44">
        <v>3</v>
      </c>
      <c r="E44">
        <v>4</v>
      </c>
      <c r="F44">
        <v>4</v>
      </c>
      <c r="G44" t="s">
        <v>33</v>
      </c>
      <c r="N44" t="s">
        <v>34</v>
      </c>
    </row>
    <row r="45" spans="1:15" ht="16.5" customHeight="1">
      <c r="A45" s="1" t="s">
        <v>277</v>
      </c>
      <c r="B45" s="1" t="s">
        <v>279</v>
      </c>
      <c r="C45">
        <v>5</v>
      </c>
      <c r="D45">
        <v>5</v>
      </c>
      <c r="E45">
        <v>5</v>
      </c>
      <c r="F45">
        <v>4</v>
      </c>
      <c r="G45" t="s">
        <v>29</v>
      </c>
      <c r="N45" t="s">
        <v>30</v>
      </c>
      <c r="O45" t="s">
        <v>48</v>
      </c>
    </row>
    <row r="46" spans="1:15" ht="18.75" customHeight="1">
      <c r="A46" s="1" t="s">
        <v>280</v>
      </c>
      <c r="B46" s="1" t="s">
        <v>281</v>
      </c>
      <c r="C46">
        <v>5</v>
      </c>
      <c r="D46">
        <v>5</v>
      </c>
      <c r="E46">
        <v>5</v>
      </c>
      <c r="F46">
        <v>5</v>
      </c>
      <c r="G46" t="s">
        <v>29</v>
      </c>
      <c r="N46" t="s">
        <v>30</v>
      </c>
      <c r="O46" t="s">
        <v>48</v>
      </c>
    </row>
    <row r="47" spans="1:15" ht="18.75" customHeight="1">
      <c r="A47" s="1" t="s">
        <v>280</v>
      </c>
      <c r="B47" s="1" t="s">
        <v>75</v>
      </c>
      <c r="C47">
        <v>4</v>
      </c>
      <c r="D47">
        <v>4</v>
      </c>
      <c r="E47">
        <v>4</v>
      </c>
      <c r="F47">
        <v>5</v>
      </c>
      <c r="G47" t="s">
        <v>33</v>
      </c>
      <c r="N47" t="s">
        <v>34</v>
      </c>
    </row>
    <row r="48" spans="1:15" ht="16.5" customHeight="1">
      <c r="A48" s="1" t="s">
        <v>282</v>
      </c>
      <c r="B48" s="1" t="s">
        <v>283</v>
      </c>
      <c r="C48">
        <v>5</v>
      </c>
      <c r="D48">
        <v>4</v>
      </c>
      <c r="E48">
        <v>4</v>
      </c>
      <c r="F48">
        <v>4</v>
      </c>
      <c r="G48" t="s">
        <v>29</v>
      </c>
      <c r="N48" t="s">
        <v>30</v>
      </c>
      <c r="O48" t="s">
        <v>48</v>
      </c>
    </row>
    <row r="49" spans="1:15" ht="17.25" customHeight="1">
      <c r="A49" s="1" t="s">
        <v>282</v>
      </c>
      <c r="B49" s="1" t="s">
        <v>284</v>
      </c>
      <c r="C49">
        <v>4</v>
      </c>
      <c r="D49">
        <v>4</v>
      </c>
      <c r="E49">
        <v>4</v>
      </c>
      <c r="F49">
        <v>4</v>
      </c>
      <c r="G49" t="s">
        <v>33</v>
      </c>
      <c r="N49" t="s">
        <v>34</v>
      </c>
    </row>
    <row r="50" spans="1:15" ht="19.5" customHeight="1">
      <c r="A50" s="1" t="s">
        <v>285</v>
      </c>
      <c r="B50" s="1" t="s">
        <v>286</v>
      </c>
      <c r="C50">
        <v>4</v>
      </c>
      <c r="D50">
        <v>5</v>
      </c>
      <c r="E50">
        <v>4</v>
      </c>
      <c r="F50">
        <v>3</v>
      </c>
      <c r="G50" t="s">
        <v>33</v>
      </c>
      <c r="N50" t="s">
        <v>30</v>
      </c>
      <c r="O50" t="s">
        <v>81</v>
      </c>
    </row>
    <row r="51" spans="1:15" ht="17.25" customHeight="1">
      <c r="A51" s="1" t="s">
        <v>285</v>
      </c>
      <c r="B51" s="1" t="s">
        <v>287</v>
      </c>
      <c r="C51">
        <v>4</v>
      </c>
      <c r="D51">
        <v>5</v>
      </c>
      <c r="E51">
        <v>4</v>
      </c>
      <c r="F51">
        <v>4</v>
      </c>
      <c r="G51" t="s">
        <v>29</v>
      </c>
      <c r="N51" t="s">
        <v>34</v>
      </c>
    </row>
    <row r="52" spans="1:15" ht="15" customHeight="1">
      <c r="A52" s="1" t="s">
        <v>288</v>
      </c>
      <c r="B52" s="1" t="s">
        <v>289</v>
      </c>
      <c r="C52">
        <v>5</v>
      </c>
      <c r="D52">
        <v>5</v>
      </c>
      <c r="E52">
        <v>5</v>
      </c>
      <c r="F52">
        <v>5</v>
      </c>
      <c r="G52" t="s">
        <v>29</v>
      </c>
      <c r="N52" t="s">
        <v>30</v>
      </c>
      <c r="O52" t="s">
        <v>48</v>
      </c>
    </row>
    <row r="53" spans="1:15" ht="18" customHeight="1">
      <c r="A53" s="1" t="s">
        <v>288</v>
      </c>
      <c r="B53" s="1" t="s">
        <v>290</v>
      </c>
      <c r="C53">
        <v>4</v>
      </c>
      <c r="D53">
        <v>4</v>
      </c>
      <c r="E53">
        <v>4</v>
      </c>
      <c r="F53">
        <v>3</v>
      </c>
      <c r="G53" t="s">
        <v>33</v>
      </c>
      <c r="N53" t="s">
        <v>34</v>
      </c>
    </row>
    <row r="54" spans="1:15" ht="15.75" customHeight="1">
      <c r="A54" s="1" t="s">
        <v>291</v>
      </c>
      <c r="B54" s="1" t="s">
        <v>292</v>
      </c>
      <c r="C54">
        <v>5</v>
      </c>
      <c r="D54">
        <v>5</v>
      </c>
      <c r="E54">
        <v>5</v>
      </c>
      <c r="F54">
        <v>5</v>
      </c>
      <c r="G54" t="s">
        <v>29</v>
      </c>
      <c r="N54" t="s">
        <v>30</v>
      </c>
      <c r="O54" t="s">
        <v>43</v>
      </c>
    </row>
    <row r="55" spans="1:15" ht="16.5" customHeight="1">
      <c r="A55" s="1" t="s">
        <v>291</v>
      </c>
      <c r="B55" s="1" t="s">
        <v>293</v>
      </c>
      <c r="C55">
        <v>5</v>
      </c>
      <c r="D55">
        <v>5</v>
      </c>
      <c r="E55">
        <v>4</v>
      </c>
      <c r="F55">
        <v>4</v>
      </c>
      <c r="G55" t="s">
        <v>33</v>
      </c>
      <c r="N55" t="s">
        <v>34</v>
      </c>
    </row>
    <row r="56" spans="1:15" ht="14.25" customHeight="1">
      <c r="A56" s="1" t="s">
        <v>294</v>
      </c>
      <c r="B56" s="1" t="s">
        <v>295</v>
      </c>
      <c r="C56">
        <v>5</v>
      </c>
      <c r="D56">
        <v>5</v>
      </c>
      <c r="E56">
        <v>5</v>
      </c>
      <c r="F56">
        <v>5</v>
      </c>
      <c r="G56" t="s">
        <v>29</v>
      </c>
      <c r="N56" t="s">
        <v>30</v>
      </c>
      <c r="O56" t="s">
        <v>48</v>
      </c>
    </row>
    <row r="57" spans="1:15" ht="18.75" customHeight="1">
      <c r="A57" s="1" t="s">
        <v>294</v>
      </c>
      <c r="B57" s="1" t="s">
        <v>296</v>
      </c>
      <c r="C57">
        <v>4</v>
      </c>
      <c r="D57">
        <v>4</v>
      </c>
      <c r="E57">
        <v>4</v>
      </c>
      <c r="F57">
        <v>4</v>
      </c>
      <c r="G57" t="s">
        <v>33</v>
      </c>
      <c r="N57" t="s">
        <v>34</v>
      </c>
    </row>
    <row r="58" spans="1:15" ht="17.25" customHeight="1">
      <c r="A58" s="1" t="s">
        <v>297</v>
      </c>
      <c r="B58" s="1" t="s">
        <v>298</v>
      </c>
      <c r="C58">
        <v>4</v>
      </c>
      <c r="D58">
        <v>4</v>
      </c>
      <c r="E58">
        <v>5</v>
      </c>
      <c r="F58">
        <v>3</v>
      </c>
      <c r="G58" t="s">
        <v>29</v>
      </c>
      <c r="N58" t="s">
        <v>30</v>
      </c>
      <c r="O58" t="s">
        <v>31</v>
      </c>
    </row>
    <row r="59" spans="1:15" ht="18" customHeight="1">
      <c r="A59" s="1" t="s">
        <v>297</v>
      </c>
      <c r="B59" s="1" t="s">
        <v>299</v>
      </c>
      <c r="C59">
        <v>3</v>
      </c>
      <c r="D59">
        <v>4</v>
      </c>
      <c r="E59">
        <v>4</v>
      </c>
      <c r="F59">
        <v>2</v>
      </c>
      <c r="G59" t="s">
        <v>33</v>
      </c>
      <c r="N59" t="s">
        <v>34</v>
      </c>
    </row>
    <row r="60" spans="1:15" ht="15.75" customHeight="1">
      <c r="A60" s="1" t="s">
        <v>300</v>
      </c>
      <c r="B60" s="1" t="s">
        <v>301</v>
      </c>
      <c r="C60">
        <v>4</v>
      </c>
      <c r="D60">
        <v>5</v>
      </c>
      <c r="E60">
        <v>4</v>
      </c>
      <c r="F60">
        <v>5</v>
      </c>
      <c r="G60" t="s">
        <v>33</v>
      </c>
      <c r="N60" t="s">
        <v>34</v>
      </c>
    </row>
    <row r="61" spans="1:15" ht="18.75" customHeight="1">
      <c r="A61" s="1" t="s">
        <v>300</v>
      </c>
      <c r="B61" s="1" t="s">
        <v>302</v>
      </c>
      <c r="C61">
        <v>4</v>
      </c>
      <c r="D61">
        <v>5</v>
      </c>
      <c r="E61">
        <v>4</v>
      </c>
      <c r="F61">
        <v>4</v>
      </c>
      <c r="G61" t="s">
        <v>29</v>
      </c>
      <c r="N61" t="s">
        <v>30</v>
      </c>
      <c r="O61" t="s">
        <v>31</v>
      </c>
    </row>
    <row r="62" spans="1:15" ht="20.25" customHeight="1">
      <c r="A62" s="1" t="s">
        <v>303</v>
      </c>
      <c r="B62" s="1" t="s">
        <v>304</v>
      </c>
      <c r="C62">
        <v>4</v>
      </c>
      <c r="D62">
        <v>5</v>
      </c>
      <c r="E62">
        <v>5</v>
      </c>
      <c r="F62">
        <v>4</v>
      </c>
      <c r="G62" t="s">
        <v>29</v>
      </c>
      <c r="N62" t="s">
        <v>30</v>
      </c>
      <c r="O62" t="s">
        <v>31</v>
      </c>
    </row>
    <row r="63" spans="1:15" ht="18.75" customHeight="1">
      <c r="A63" s="1" t="s">
        <v>303</v>
      </c>
      <c r="B63" s="1" t="s">
        <v>305</v>
      </c>
      <c r="C63">
        <v>2</v>
      </c>
      <c r="D63">
        <v>4</v>
      </c>
      <c r="E63">
        <v>5</v>
      </c>
      <c r="F63">
        <v>4</v>
      </c>
      <c r="G63" t="s">
        <v>33</v>
      </c>
      <c r="N63" t="s">
        <v>34</v>
      </c>
    </row>
    <row r="64" spans="1:15" ht="18.75" customHeight="1">
      <c r="A64" s="1" t="s">
        <v>306</v>
      </c>
      <c r="B64" s="1" t="s">
        <v>307</v>
      </c>
      <c r="C64">
        <v>3</v>
      </c>
      <c r="D64">
        <v>5</v>
      </c>
      <c r="E64">
        <v>4</v>
      </c>
      <c r="F64">
        <v>4</v>
      </c>
      <c r="G64" t="s">
        <v>33</v>
      </c>
      <c r="N64" t="s">
        <v>30</v>
      </c>
      <c r="O64" t="s">
        <v>81</v>
      </c>
    </row>
    <row r="65" spans="1:15" ht="17.25" customHeight="1">
      <c r="A65" s="1" t="s">
        <v>306</v>
      </c>
      <c r="B65" s="1" t="s">
        <v>94</v>
      </c>
      <c r="C65">
        <v>4</v>
      </c>
      <c r="D65">
        <v>5</v>
      </c>
      <c r="E65">
        <v>4</v>
      </c>
      <c r="F65">
        <v>4</v>
      </c>
      <c r="G65" t="s">
        <v>29</v>
      </c>
      <c r="N65" t="s">
        <v>34</v>
      </c>
    </row>
    <row r="66" spans="1:15" ht="17.25" customHeight="1">
      <c r="A66" s="1" t="s">
        <v>308</v>
      </c>
      <c r="B66" s="1" t="s">
        <v>309</v>
      </c>
      <c r="C66">
        <v>4</v>
      </c>
      <c r="D66">
        <v>5</v>
      </c>
      <c r="E66">
        <v>5</v>
      </c>
      <c r="F66">
        <v>4</v>
      </c>
      <c r="G66" t="s">
        <v>33</v>
      </c>
      <c r="N66" t="s">
        <v>30</v>
      </c>
      <c r="O66" t="s">
        <v>31</v>
      </c>
    </row>
    <row r="67" spans="1:15" ht="17.25" customHeight="1">
      <c r="A67" s="1" t="s">
        <v>308</v>
      </c>
      <c r="B67" s="1" t="s">
        <v>310</v>
      </c>
      <c r="C67">
        <v>4</v>
      </c>
      <c r="D67">
        <v>5</v>
      </c>
      <c r="E67">
        <v>5</v>
      </c>
      <c r="F67">
        <v>5</v>
      </c>
      <c r="G67" t="s">
        <v>29</v>
      </c>
      <c r="N67" t="s">
        <v>34</v>
      </c>
    </row>
    <row r="68" spans="1:15" ht="18.75" customHeight="1">
      <c r="A68" s="1" t="s">
        <v>311</v>
      </c>
      <c r="B68" s="1" t="s">
        <v>312</v>
      </c>
      <c r="C68">
        <v>5</v>
      </c>
      <c r="D68">
        <v>5</v>
      </c>
      <c r="E68">
        <v>5</v>
      </c>
      <c r="F68">
        <v>5</v>
      </c>
      <c r="G68" t="s">
        <v>29</v>
      </c>
      <c r="N68" t="s">
        <v>30</v>
      </c>
      <c r="O68" t="s">
        <v>43</v>
      </c>
    </row>
    <row r="69" spans="1:15" ht="17.25" customHeight="1">
      <c r="A69" s="1" t="s">
        <v>311</v>
      </c>
      <c r="B69" s="1" t="s">
        <v>313</v>
      </c>
      <c r="C69">
        <v>2</v>
      </c>
      <c r="D69">
        <v>4</v>
      </c>
      <c r="E69">
        <v>5</v>
      </c>
      <c r="F69">
        <v>4</v>
      </c>
      <c r="G69" t="s">
        <v>33</v>
      </c>
      <c r="N69" t="s">
        <v>34</v>
      </c>
    </row>
    <row r="70" spans="1:15" ht="17.25" customHeight="1">
      <c r="A70" s="1" t="s">
        <v>314</v>
      </c>
      <c r="B70" s="1" t="s">
        <v>315</v>
      </c>
      <c r="C70">
        <v>3</v>
      </c>
      <c r="D70">
        <v>5</v>
      </c>
      <c r="E70">
        <v>5</v>
      </c>
      <c r="F70">
        <v>4</v>
      </c>
      <c r="G70" t="s">
        <v>33</v>
      </c>
      <c r="N70" t="s">
        <v>34</v>
      </c>
    </row>
    <row r="71" spans="1:15" ht="19.5" customHeight="1">
      <c r="A71" s="1" t="s">
        <v>314</v>
      </c>
      <c r="B71" s="1" t="s">
        <v>316</v>
      </c>
      <c r="C71">
        <v>5</v>
      </c>
      <c r="D71">
        <v>5</v>
      </c>
      <c r="E71">
        <v>5</v>
      </c>
      <c r="F71">
        <v>5</v>
      </c>
      <c r="G71" t="s">
        <v>29</v>
      </c>
      <c r="N71" t="s">
        <v>30</v>
      </c>
      <c r="O71" t="s">
        <v>43</v>
      </c>
    </row>
    <row r="72" spans="1:15" ht="17.25" customHeight="1">
      <c r="A72" s="1" t="s">
        <v>317</v>
      </c>
      <c r="B72" s="1" t="s">
        <v>318</v>
      </c>
      <c r="C72">
        <v>3</v>
      </c>
      <c r="D72">
        <v>4</v>
      </c>
      <c r="E72">
        <v>5</v>
      </c>
      <c r="F72">
        <v>4</v>
      </c>
      <c r="G72" t="s">
        <v>29</v>
      </c>
      <c r="N72" t="s">
        <v>34</v>
      </c>
    </row>
    <row r="73" spans="1:15" ht="18" customHeight="1">
      <c r="A73" s="1" t="s">
        <v>317</v>
      </c>
      <c r="B73" s="1" t="s">
        <v>319</v>
      </c>
      <c r="C73">
        <v>4</v>
      </c>
      <c r="D73">
        <v>5</v>
      </c>
      <c r="E73">
        <v>5</v>
      </c>
      <c r="F73">
        <v>4</v>
      </c>
      <c r="G73" t="s">
        <v>33</v>
      </c>
      <c r="N73" t="s">
        <v>30</v>
      </c>
      <c r="O73" t="s">
        <v>31</v>
      </c>
    </row>
    <row r="74" spans="1:15" ht="18" customHeight="1">
      <c r="A74" s="1" t="s">
        <v>320</v>
      </c>
      <c r="B74" s="1" t="s">
        <v>321</v>
      </c>
      <c r="C74">
        <v>3</v>
      </c>
      <c r="D74">
        <v>5</v>
      </c>
      <c r="E74">
        <v>5</v>
      </c>
      <c r="F74">
        <v>4</v>
      </c>
      <c r="G74" t="s">
        <v>33</v>
      </c>
      <c r="N74" t="s">
        <v>34</v>
      </c>
    </row>
    <row r="75" spans="1:15" ht="18" customHeight="1">
      <c r="A75" s="1" t="s">
        <v>320</v>
      </c>
      <c r="B75" s="1" t="s">
        <v>322</v>
      </c>
      <c r="C75">
        <v>5</v>
      </c>
      <c r="D75">
        <v>5</v>
      </c>
      <c r="E75">
        <v>5</v>
      </c>
      <c r="F75">
        <v>4</v>
      </c>
      <c r="G75" t="s">
        <v>29</v>
      </c>
      <c r="N75" t="s">
        <v>30</v>
      </c>
      <c r="O75" t="s">
        <v>48</v>
      </c>
    </row>
    <row r="76" spans="1:15" ht="19.5" customHeight="1">
      <c r="A76" s="1" t="s">
        <v>323</v>
      </c>
      <c r="B76" s="1" t="s">
        <v>324</v>
      </c>
      <c r="C76">
        <v>3</v>
      </c>
      <c r="D76">
        <v>3</v>
      </c>
      <c r="E76">
        <v>4</v>
      </c>
      <c r="F76">
        <v>3</v>
      </c>
      <c r="G76" t="s">
        <v>33</v>
      </c>
      <c r="N76" t="s">
        <v>30</v>
      </c>
      <c r="O76" t="s">
        <v>81</v>
      </c>
    </row>
    <row r="77" spans="1:15" ht="14.25" customHeight="1">
      <c r="A77" s="1" t="s">
        <v>323</v>
      </c>
      <c r="B77" s="1" t="s">
        <v>325</v>
      </c>
      <c r="C77">
        <v>3</v>
      </c>
      <c r="D77">
        <v>4</v>
      </c>
      <c r="E77">
        <v>5</v>
      </c>
      <c r="F77">
        <v>4</v>
      </c>
      <c r="G77" t="s">
        <v>29</v>
      </c>
      <c r="N77" t="s">
        <v>34</v>
      </c>
    </row>
    <row r="78" spans="1:15" ht="18.75" customHeight="1">
      <c r="A78" s="1" t="s">
        <v>326</v>
      </c>
      <c r="B78" s="1" t="s">
        <v>327</v>
      </c>
      <c r="C78">
        <v>3</v>
      </c>
      <c r="D78">
        <v>4</v>
      </c>
      <c r="E78">
        <v>5</v>
      </c>
      <c r="F78">
        <v>3</v>
      </c>
      <c r="G78" t="s">
        <v>33</v>
      </c>
      <c r="N78" t="s">
        <v>34</v>
      </c>
    </row>
    <row r="79" spans="1:15" ht="19.5" customHeight="1">
      <c r="A79" s="1" t="s">
        <v>326</v>
      </c>
      <c r="B79" s="1" t="s">
        <v>328</v>
      </c>
      <c r="C79">
        <v>4</v>
      </c>
      <c r="D79">
        <v>5</v>
      </c>
      <c r="E79">
        <v>5</v>
      </c>
      <c r="F79">
        <v>4</v>
      </c>
      <c r="G79" t="s">
        <v>29</v>
      </c>
      <c r="N79" t="s">
        <v>30</v>
      </c>
      <c r="O79" t="s">
        <v>31</v>
      </c>
    </row>
    <row r="80" spans="1:15" ht="18.75" customHeight="1">
      <c r="A80" s="1" t="s">
        <v>329</v>
      </c>
      <c r="B80" s="1" t="s">
        <v>330</v>
      </c>
      <c r="C80">
        <v>4</v>
      </c>
      <c r="D80">
        <v>5</v>
      </c>
      <c r="E80">
        <v>5</v>
      </c>
      <c r="F80">
        <v>4</v>
      </c>
      <c r="G80" t="s">
        <v>29</v>
      </c>
      <c r="N80" t="s">
        <v>30</v>
      </c>
      <c r="O80" t="s">
        <v>31</v>
      </c>
    </row>
    <row r="81" spans="1:15" ht="18.75" customHeight="1">
      <c r="A81" s="1" t="s">
        <v>329</v>
      </c>
      <c r="B81" s="1" t="s">
        <v>331</v>
      </c>
      <c r="C81">
        <v>4</v>
      </c>
      <c r="D81">
        <v>5</v>
      </c>
      <c r="E81">
        <v>5</v>
      </c>
      <c r="F81">
        <v>4</v>
      </c>
      <c r="G81" t="s">
        <v>33</v>
      </c>
      <c r="N81" t="s">
        <v>34</v>
      </c>
    </row>
    <row r="82" spans="1:15" ht="15" customHeight="1">
      <c r="A82" s="1" t="s">
        <v>332</v>
      </c>
      <c r="B82" s="1" t="s">
        <v>333</v>
      </c>
      <c r="C82">
        <v>3</v>
      </c>
      <c r="D82">
        <v>4</v>
      </c>
      <c r="E82">
        <v>5</v>
      </c>
      <c r="F82">
        <v>4</v>
      </c>
      <c r="G82" t="s">
        <v>29</v>
      </c>
      <c r="N82" t="s">
        <v>34</v>
      </c>
    </row>
    <row r="83" spans="1:15" ht="18.75" customHeight="1">
      <c r="A83" s="1" t="s">
        <v>332</v>
      </c>
      <c r="B83" s="1" t="s">
        <v>334</v>
      </c>
      <c r="C83">
        <v>4</v>
      </c>
      <c r="D83">
        <v>5</v>
      </c>
      <c r="E83">
        <v>5</v>
      </c>
      <c r="F83">
        <v>4</v>
      </c>
      <c r="G83" t="s">
        <v>33</v>
      </c>
      <c r="N83" t="s">
        <v>30</v>
      </c>
      <c r="O83" t="s">
        <v>81</v>
      </c>
    </row>
    <row r="84" spans="1:15" ht="17.25" customHeight="1">
      <c r="A84" s="1" t="s">
        <v>335</v>
      </c>
      <c r="B84" s="1" t="s">
        <v>336</v>
      </c>
      <c r="C84">
        <v>3</v>
      </c>
      <c r="D84">
        <v>4</v>
      </c>
      <c r="E84">
        <v>5</v>
      </c>
      <c r="F84">
        <v>4</v>
      </c>
      <c r="G84" t="s">
        <v>33</v>
      </c>
      <c r="N84" t="s">
        <v>34</v>
      </c>
    </row>
    <row r="85" spans="1:15" ht="19.5" customHeight="1">
      <c r="A85" s="1" t="s">
        <v>335</v>
      </c>
      <c r="B85" s="1" t="s">
        <v>337</v>
      </c>
      <c r="C85">
        <v>5</v>
      </c>
      <c r="D85">
        <v>5</v>
      </c>
      <c r="E85">
        <v>5</v>
      </c>
      <c r="F85">
        <v>5</v>
      </c>
      <c r="G85" t="s">
        <v>29</v>
      </c>
      <c r="N85" t="s">
        <v>30</v>
      </c>
      <c r="O85" t="s">
        <v>48</v>
      </c>
    </row>
    <row r="86" spans="1:15" ht="14.25" customHeight="1">
      <c r="A86" s="1" t="s">
        <v>338</v>
      </c>
      <c r="B86" s="1" t="s">
        <v>339</v>
      </c>
      <c r="C86">
        <v>5</v>
      </c>
      <c r="D86">
        <v>5</v>
      </c>
      <c r="E86">
        <v>5</v>
      </c>
      <c r="F86">
        <v>5</v>
      </c>
      <c r="G86" t="s">
        <v>29</v>
      </c>
      <c r="N86" t="s">
        <v>30</v>
      </c>
      <c r="O86" t="s">
        <v>43</v>
      </c>
    </row>
    <row r="87" spans="1:15" ht="19.5" customHeight="1">
      <c r="A87" s="1" t="s">
        <v>338</v>
      </c>
      <c r="B87" s="1" t="s">
        <v>340</v>
      </c>
      <c r="C87">
        <v>3</v>
      </c>
      <c r="D87">
        <v>4</v>
      </c>
      <c r="E87">
        <v>5</v>
      </c>
      <c r="F87">
        <v>4</v>
      </c>
      <c r="G87" t="s">
        <v>33</v>
      </c>
      <c r="N87" t="s">
        <v>34</v>
      </c>
    </row>
    <row r="88" spans="1:15" ht="18" customHeight="1">
      <c r="A88" s="1" t="s">
        <v>341</v>
      </c>
      <c r="B88" s="1" t="s">
        <v>342</v>
      </c>
      <c r="C88">
        <v>3</v>
      </c>
      <c r="D88">
        <v>4</v>
      </c>
      <c r="E88">
        <v>5</v>
      </c>
      <c r="F88">
        <v>4</v>
      </c>
      <c r="G88" t="s">
        <v>33</v>
      </c>
      <c r="N88" t="s">
        <v>34</v>
      </c>
    </row>
    <row r="89" spans="1:15" ht="17.25" customHeight="1">
      <c r="A89" s="1" t="s">
        <v>341</v>
      </c>
      <c r="B89" s="1" t="s">
        <v>343</v>
      </c>
      <c r="C89">
        <v>5</v>
      </c>
      <c r="D89">
        <v>5</v>
      </c>
      <c r="E89">
        <v>5</v>
      </c>
      <c r="F89">
        <v>5</v>
      </c>
      <c r="G89" t="s">
        <v>29</v>
      </c>
      <c r="N89" t="s">
        <v>30</v>
      </c>
      <c r="O89" t="s">
        <v>43</v>
      </c>
    </row>
    <row r="90" spans="1:15" ht="18.75" customHeight="1">
      <c r="A90" s="1" t="s">
        <v>344</v>
      </c>
      <c r="B90" s="1" t="s">
        <v>345</v>
      </c>
      <c r="C90">
        <v>3</v>
      </c>
      <c r="D90">
        <v>4</v>
      </c>
      <c r="E90">
        <v>5</v>
      </c>
      <c r="F90">
        <v>4</v>
      </c>
      <c r="G90" t="s">
        <v>33</v>
      </c>
      <c r="N90" t="s">
        <v>34</v>
      </c>
    </row>
    <row r="91" spans="1:15" ht="18.75" customHeight="1">
      <c r="A91" s="1" t="s">
        <v>344</v>
      </c>
      <c r="B91" s="1" t="s">
        <v>346</v>
      </c>
      <c r="C91">
        <v>4</v>
      </c>
      <c r="D91">
        <v>5</v>
      </c>
      <c r="E91">
        <v>5</v>
      </c>
      <c r="F91">
        <v>4</v>
      </c>
      <c r="G91" t="s">
        <v>29</v>
      </c>
      <c r="N91" t="s">
        <v>30</v>
      </c>
      <c r="O91" t="s">
        <v>31</v>
      </c>
    </row>
    <row r="92" spans="1:15" ht="18" customHeight="1">
      <c r="A92" s="1" t="s">
        <v>347</v>
      </c>
      <c r="B92" s="1" t="s">
        <v>348</v>
      </c>
      <c r="C92">
        <v>3</v>
      </c>
      <c r="D92">
        <v>4</v>
      </c>
      <c r="E92">
        <v>5</v>
      </c>
      <c r="F92">
        <v>4</v>
      </c>
      <c r="G92" t="s">
        <v>33</v>
      </c>
      <c r="N92" t="s">
        <v>34</v>
      </c>
    </row>
    <row r="93" spans="1:15" ht="18" customHeight="1">
      <c r="A93" s="1" t="s">
        <v>347</v>
      </c>
      <c r="B93" s="1" t="s">
        <v>349</v>
      </c>
      <c r="C93">
        <v>4</v>
      </c>
      <c r="D93">
        <v>5</v>
      </c>
      <c r="E93">
        <v>5</v>
      </c>
      <c r="F93">
        <v>4</v>
      </c>
      <c r="G93" t="s">
        <v>29</v>
      </c>
      <c r="N93" t="s">
        <v>30</v>
      </c>
      <c r="O93" t="s">
        <v>81</v>
      </c>
    </row>
    <row r="94" spans="1:15" ht="15.75" customHeight="1">
      <c r="A94" s="1" t="s">
        <v>350</v>
      </c>
      <c r="B94" s="1" t="s">
        <v>351</v>
      </c>
      <c r="C94">
        <v>4</v>
      </c>
      <c r="D94">
        <v>5</v>
      </c>
      <c r="E94">
        <v>5</v>
      </c>
      <c r="F94">
        <v>4</v>
      </c>
      <c r="G94" t="s">
        <v>33</v>
      </c>
      <c r="N94" t="s">
        <v>30</v>
      </c>
      <c r="O94" t="s">
        <v>81</v>
      </c>
    </row>
    <row r="95" spans="1:15" ht="17.25" customHeight="1">
      <c r="A95" s="1" t="s">
        <v>350</v>
      </c>
      <c r="B95" s="1" t="s">
        <v>352</v>
      </c>
      <c r="C95">
        <v>3</v>
      </c>
      <c r="D95">
        <v>4</v>
      </c>
      <c r="E95">
        <v>5</v>
      </c>
      <c r="F95">
        <v>4</v>
      </c>
      <c r="G95" t="s">
        <v>29</v>
      </c>
      <c r="N95" t="s">
        <v>34</v>
      </c>
    </row>
    <row r="96" spans="1:15" ht="19.5" customHeight="1">
      <c r="A96" s="1" t="s">
        <v>353</v>
      </c>
      <c r="B96" s="1" t="s">
        <v>354</v>
      </c>
      <c r="C96">
        <v>5</v>
      </c>
      <c r="D96">
        <v>5</v>
      </c>
      <c r="E96">
        <v>5</v>
      </c>
      <c r="F96">
        <v>5</v>
      </c>
      <c r="G96" t="s">
        <v>29</v>
      </c>
      <c r="N96" t="s">
        <v>30</v>
      </c>
      <c r="O96" t="s">
        <v>48</v>
      </c>
    </row>
    <row r="97" spans="1:15" ht="20.25" customHeight="1">
      <c r="A97" s="1" t="s">
        <v>353</v>
      </c>
      <c r="B97" s="1" t="s">
        <v>355</v>
      </c>
      <c r="C97">
        <v>2</v>
      </c>
      <c r="D97">
        <v>4</v>
      </c>
      <c r="E97">
        <v>5</v>
      </c>
      <c r="F97">
        <v>4</v>
      </c>
      <c r="G97" t="s">
        <v>33</v>
      </c>
      <c r="N97" t="s">
        <v>34</v>
      </c>
    </row>
    <row r="98" spans="1:15" ht="19.5" customHeight="1">
      <c r="A98" s="1" t="s">
        <v>356</v>
      </c>
      <c r="B98" s="1" t="s">
        <v>357</v>
      </c>
      <c r="C98">
        <v>2</v>
      </c>
      <c r="D98">
        <v>3</v>
      </c>
      <c r="E98">
        <v>4</v>
      </c>
      <c r="F98">
        <v>3</v>
      </c>
      <c r="G98" t="s">
        <v>29</v>
      </c>
      <c r="N98" t="s">
        <v>34</v>
      </c>
    </row>
    <row r="99" spans="1:15" ht="18" customHeight="1">
      <c r="A99" s="1" t="s">
        <v>356</v>
      </c>
      <c r="B99" s="1" t="s">
        <v>358</v>
      </c>
      <c r="C99">
        <v>3</v>
      </c>
      <c r="D99">
        <v>4</v>
      </c>
      <c r="E99">
        <v>4</v>
      </c>
      <c r="F99">
        <v>3</v>
      </c>
      <c r="G99" t="s">
        <v>33</v>
      </c>
      <c r="N99" t="s">
        <v>30</v>
      </c>
      <c r="O99" t="s">
        <v>31</v>
      </c>
    </row>
    <row r="100" spans="1:15" ht="19.5" customHeight="1">
      <c r="A100" s="1" t="s">
        <v>359</v>
      </c>
      <c r="B100" s="1" t="s">
        <v>360</v>
      </c>
      <c r="C100">
        <v>4</v>
      </c>
      <c r="D100">
        <v>4</v>
      </c>
      <c r="E100">
        <v>4</v>
      </c>
      <c r="F100">
        <v>4</v>
      </c>
      <c r="G100" t="s">
        <v>29</v>
      </c>
      <c r="N100" t="s">
        <v>30</v>
      </c>
      <c r="O100" t="s">
        <v>43</v>
      </c>
    </row>
    <row r="101" spans="1:15" ht="17.25" customHeight="1">
      <c r="A101" s="1" t="s">
        <v>359</v>
      </c>
      <c r="B101" s="1" t="s">
        <v>361</v>
      </c>
      <c r="C101">
        <v>2</v>
      </c>
      <c r="D101">
        <v>3</v>
      </c>
      <c r="E101">
        <v>4</v>
      </c>
      <c r="F101">
        <v>3</v>
      </c>
      <c r="G101" t="s">
        <v>33</v>
      </c>
      <c r="N101" t="s">
        <v>34</v>
      </c>
    </row>
    <row r="102" spans="1:15" ht="15.75" customHeight="1">
      <c r="A102" s="1" t="s">
        <v>362</v>
      </c>
      <c r="B102" s="1" t="s">
        <v>363</v>
      </c>
      <c r="C102">
        <v>2</v>
      </c>
      <c r="D102">
        <v>3</v>
      </c>
      <c r="E102">
        <v>4</v>
      </c>
      <c r="F102">
        <v>3</v>
      </c>
      <c r="G102" t="s">
        <v>33</v>
      </c>
      <c r="N102" t="s">
        <v>30</v>
      </c>
      <c r="O102" t="s">
        <v>81</v>
      </c>
    </row>
    <row r="103" spans="1:15" ht="18" customHeight="1">
      <c r="A103" s="1" t="s">
        <v>362</v>
      </c>
      <c r="B103" s="1" t="s">
        <v>364</v>
      </c>
      <c r="C103">
        <v>4</v>
      </c>
      <c r="D103">
        <v>4</v>
      </c>
      <c r="E103">
        <v>4</v>
      </c>
      <c r="F103">
        <v>4</v>
      </c>
      <c r="G103" t="s">
        <v>29</v>
      </c>
      <c r="N103" t="s">
        <v>34</v>
      </c>
    </row>
    <row r="104" spans="1:15" ht="18" customHeight="1">
      <c r="A104" s="1" t="s">
        <v>365</v>
      </c>
      <c r="B104" s="1" t="s">
        <v>366</v>
      </c>
      <c r="C104">
        <v>5</v>
      </c>
      <c r="D104">
        <v>5</v>
      </c>
      <c r="E104">
        <v>5</v>
      </c>
      <c r="F104">
        <v>5</v>
      </c>
      <c r="G104" t="s">
        <v>29</v>
      </c>
      <c r="N104" t="s">
        <v>30</v>
      </c>
      <c r="O104" t="s">
        <v>43</v>
      </c>
    </row>
    <row r="105" spans="1:15" ht="16.5" customHeight="1">
      <c r="A105" s="1" t="s">
        <v>365</v>
      </c>
      <c r="B105" s="1" t="s">
        <v>367</v>
      </c>
      <c r="C105">
        <v>3</v>
      </c>
      <c r="D105">
        <v>4</v>
      </c>
      <c r="E105">
        <v>4</v>
      </c>
      <c r="F105">
        <v>3</v>
      </c>
      <c r="G105" t="s">
        <v>33</v>
      </c>
      <c r="N105" t="s">
        <v>34</v>
      </c>
    </row>
    <row r="106" spans="1:15" ht="16.5" customHeight="1">
      <c r="A106" s="1" t="s">
        <v>368</v>
      </c>
      <c r="B106" s="1" t="s">
        <v>369</v>
      </c>
      <c r="C106">
        <v>3</v>
      </c>
      <c r="D106">
        <v>4</v>
      </c>
      <c r="E106">
        <v>4</v>
      </c>
      <c r="F106">
        <v>4</v>
      </c>
      <c r="G106" t="s">
        <v>29</v>
      </c>
      <c r="N106" t="s">
        <v>34</v>
      </c>
    </row>
    <row r="107" spans="1:15" ht="18" customHeight="1">
      <c r="A107" s="1" t="s">
        <v>368</v>
      </c>
      <c r="B107" s="1" t="s">
        <v>370</v>
      </c>
      <c r="C107">
        <v>3</v>
      </c>
      <c r="D107">
        <v>4</v>
      </c>
      <c r="E107">
        <v>4</v>
      </c>
      <c r="F107">
        <v>3</v>
      </c>
      <c r="G107" t="s">
        <v>33</v>
      </c>
      <c r="N107" t="s">
        <v>30</v>
      </c>
      <c r="O107" t="s">
        <v>81</v>
      </c>
    </row>
    <row r="108" spans="1:15" ht="21" customHeight="1">
      <c r="A108" s="1" t="s">
        <v>371</v>
      </c>
      <c r="B108" s="1" t="s">
        <v>372</v>
      </c>
      <c r="C108">
        <v>4</v>
      </c>
      <c r="D108">
        <v>4</v>
      </c>
      <c r="E108">
        <v>4</v>
      </c>
      <c r="F108">
        <v>3</v>
      </c>
      <c r="G108" t="s">
        <v>33</v>
      </c>
      <c r="N108" t="s">
        <v>30</v>
      </c>
      <c r="O108" t="s">
        <v>31</v>
      </c>
    </row>
    <row r="109" spans="1:15" ht="17.25" customHeight="1">
      <c r="A109" s="1" t="s">
        <v>371</v>
      </c>
      <c r="B109" s="1" t="s">
        <v>373</v>
      </c>
      <c r="C109">
        <v>3</v>
      </c>
      <c r="D109">
        <v>4</v>
      </c>
      <c r="E109">
        <v>4</v>
      </c>
      <c r="F109">
        <v>4</v>
      </c>
      <c r="G109" t="s">
        <v>29</v>
      </c>
      <c r="N109" t="s">
        <v>34</v>
      </c>
    </row>
    <row r="110" spans="1:15" ht="17.25" customHeight="1">
      <c r="A110" s="1" t="s">
        <v>374</v>
      </c>
      <c r="B110" s="1" t="s">
        <v>375</v>
      </c>
      <c r="C110">
        <v>3</v>
      </c>
      <c r="D110">
        <v>4</v>
      </c>
      <c r="E110">
        <v>4</v>
      </c>
      <c r="F110">
        <v>4</v>
      </c>
      <c r="G110" t="s">
        <v>29</v>
      </c>
      <c r="N110" t="s">
        <v>34</v>
      </c>
    </row>
    <row r="111" spans="1:15" ht="17.25" customHeight="1">
      <c r="A111" s="1" t="s">
        <v>374</v>
      </c>
      <c r="B111" s="1" t="s">
        <v>376</v>
      </c>
      <c r="C111">
        <v>4</v>
      </c>
      <c r="D111">
        <v>4</v>
      </c>
      <c r="E111">
        <v>4</v>
      </c>
      <c r="F111">
        <v>4</v>
      </c>
      <c r="G111" t="s">
        <v>33</v>
      </c>
      <c r="N111" t="s">
        <v>30</v>
      </c>
      <c r="O111" t="s">
        <v>48</v>
      </c>
    </row>
    <row r="112" spans="1:15" ht="18" customHeight="1">
      <c r="A112" s="1" t="s">
        <v>377</v>
      </c>
      <c r="B112" s="1" t="s">
        <v>378</v>
      </c>
      <c r="C112">
        <v>3</v>
      </c>
      <c r="D112">
        <v>3</v>
      </c>
      <c r="E112">
        <v>4</v>
      </c>
      <c r="F112">
        <v>3</v>
      </c>
      <c r="G112" t="s">
        <v>33</v>
      </c>
      <c r="N112" t="s">
        <v>30</v>
      </c>
      <c r="O112" t="s">
        <v>81</v>
      </c>
    </row>
    <row r="113" spans="1:15" ht="18" customHeight="1">
      <c r="A113" s="1" t="s">
        <v>377</v>
      </c>
      <c r="B113" s="1" t="s">
        <v>379</v>
      </c>
      <c r="C113">
        <v>3</v>
      </c>
      <c r="D113">
        <v>4</v>
      </c>
      <c r="E113">
        <v>4</v>
      </c>
      <c r="F113">
        <v>4</v>
      </c>
      <c r="G113" t="s">
        <v>29</v>
      </c>
      <c r="N113" t="s">
        <v>34</v>
      </c>
    </row>
    <row r="114" spans="1:15" ht="18" customHeight="1">
      <c r="A114" s="1" t="s">
        <v>380</v>
      </c>
      <c r="B114" s="1" t="s">
        <v>381</v>
      </c>
      <c r="C114">
        <v>3</v>
      </c>
      <c r="D114">
        <v>3</v>
      </c>
      <c r="E114">
        <v>4</v>
      </c>
      <c r="F114">
        <v>3</v>
      </c>
      <c r="G114" t="s">
        <v>29</v>
      </c>
      <c r="N114" t="s">
        <v>30</v>
      </c>
      <c r="O114" t="s">
        <v>81</v>
      </c>
    </row>
    <row r="115" spans="1:15" ht="20.25" customHeight="1">
      <c r="A115" s="1" t="s">
        <v>380</v>
      </c>
      <c r="B115" s="1" t="s">
        <v>382</v>
      </c>
      <c r="C115">
        <v>3</v>
      </c>
      <c r="D115">
        <v>4</v>
      </c>
      <c r="E115">
        <v>4</v>
      </c>
      <c r="F115">
        <v>4</v>
      </c>
      <c r="G115" t="s">
        <v>33</v>
      </c>
      <c r="N115" t="s">
        <v>34</v>
      </c>
    </row>
    <row r="116" spans="1:15" ht="15" customHeight="1">
      <c r="A116" s="1" t="s">
        <v>383</v>
      </c>
      <c r="B116" s="1" t="s">
        <v>384</v>
      </c>
      <c r="C116">
        <v>3</v>
      </c>
      <c r="D116">
        <v>4</v>
      </c>
      <c r="E116">
        <v>4</v>
      </c>
      <c r="F116">
        <v>4</v>
      </c>
      <c r="G116" t="s">
        <v>33</v>
      </c>
      <c r="N116" t="s">
        <v>34</v>
      </c>
    </row>
    <row r="117" spans="1:15" ht="15" customHeight="1">
      <c r="A117" s="1" t="s">
        <v>383</v>
      </c>
      <c r="B117" s="1" t="s">
        <v>385</v>
      </c>
      <c r="C117">
        <v>5</v>
      </c>
      <c r="D117">
        <v>5</v>
      </c>
      <c r="E117">
        <v>5</v>
      </c>
      <c r="F117">
        <v>5</v>
      </c>
      <c r="G117" t="s">
        <v>29</v>
      </c>
      <c r="N117" t="s">
        <v>30</v>
      </c>
      <c r="O117" t="s">
        <v>43</v>
      </c>
    </row>
    <row r="118" spans="1:15" ht="19.5" customHeight="1">
      <c r="A118" s="1" t="s">
        <v>386</v>
      </c>
      <c r="B118" s="1" t="s">
        <v>387</v>
      </c>
      <c r="C118">
        <v>3</v>
      </c>
      <c r="D118">
        <v>4</v>
      </c>
      <c r="E118">
        <v>4</v>
      </c>
      <c r="F118">
        <v>4</v>
      </c>
      <c r="G118" t="s">
        <v>33</v>
      </c>
      <c r="N118" t="s">
        <v>34</v>
      </c>
    </row>
    <row r="119" spans="1:15" ht="15" customHeight="1">
      <c r="A119" s="1" t="s">
        <v>386</v>
      </c>
      <c r="B119" s="1" t="s">
        <v>388</v>
      </c>
      <c r="C119">
        <v>5</v>
      </c>
      <c r="D119">
        <v>5</v>
      </c>
      <c r="E119">
        <v>5</v>
      </c>
      <c r="F119">
        <v>5</v>
      </c>
      <c r="G119" t="s">
        <v>29</v>
      </c>
      <c r="N119" t="s">
        <v>30</v>
      </c>
      <c r="O119" t="s">
        <v>48</v>
      </c>
    </row>
    <row r="120" spans="1:15" ht="13.5" customHeight="1">
      <c r="A120" s="1" t="s">
        <v>389</v>
      </c>
      <c r="B120" s="1" t="s">
        <v>390</v>
      </c>
      <c r="C120">
        <v>5</v>
      </c>
      <c r="D120">
        <v>5</v>
      </c>
      <c r="E120">
        <v>5</v>
      </c>
      <c r="F120">
        <v>5</v>
      </c>
      <c r="G120" t="s">
        <v>29</v>
      </c>
      <c r="N120" t="s">
        <v>30</v>
      </c>
      <c r="O120" t="s">
        <v>43</v>
      </c>
    </row>
    <row r="121" spans="1:15" ht="18.75" customHeight="1">
      <c r="A121" s="1" t="s">
        <v>389</v>
      </c>
      <c r="B121" s="1" t="s">
        <v>391</v>
      </c>
      <c r="C121">
        <v>3</v>
      </c>
      <c r="D121">
        <v>4</v>
      </c>
      <c r="E121">
        <v>4</v>
      </c>
      <c r="F121">
        <v>4</v>
      </c>
      <c r="G121" t="s">
        <v>33</v>
      </c>
      <c r="N121" t="s">
        <v>34</v>
      </c>
    </row>
  </sheetData>
  <autoFilter ref="N1:N122" xr:uid="{00000000-0001-0000-01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2026-07-01T20:59:09Z</dcterms:created>
  <dcterms:modified xsi:type="dcterms:W3CDTF">2026-07-02T14:31:55Z</dcterms:modified>
  <cp:category/>
  <cp:contentStatus/>
</cp:coreProperties>
</file>